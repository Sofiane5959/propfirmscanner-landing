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6"/>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earn2trade</t>
        </is>
      </c>
      <c r="C2" s="17" t="inlineStr">
        <is>
          <t>futureselite</t>
        </is>
      </c>
      <c r="D2" s="18" t="inlineStr">
        <is>
          <t>N'est pas affiche : sert a l'adresse de la page et au lien sortant. Minuscules, sans espace. Obligatoire.</t>
        </is>
      </c>
    </row>
    <row r="3" ht="44" customHeight="1">
      <c r="A3" s="15" t="inlineStr">
        <is>
          <t>nom</t>
        </is>
      </c>
      <c r="B3" s="16" t="inlineStr">
        <is>
          <t>Earn2Trade</t>
        </is>
      </c>
      <c r="C3" s="17" t="inlineStr">
        <is>
          <t>FuturesElite</t>
        </is>
      </c>
      <c r="D3" s="18" t="inlineStr">
        <is>
          <t>Le titre de la carte d'identite, « Continue to [Firm] », le verdict et la FAQ. Obligatoire.</t>
        </is>
      </c>
    </row>
    <row r="4" ht="44" customHeight="1">
      <c r="A4" s="15" t="inlineStr">
        <is>
          <t>logo_url</t>
        </is>
      </c>
      <c r="B4" s="16" t="inlineStr">
        <is>
          <t>https://www.earn2trade.com/apple-touch-icon.png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4.6</v>
      </c>
      <c r="C5" s="20" t="n">
        <v>4.5</v>
      </c>
      <c r="D5" s="18" t="inlineStr">
        <is>
          <t>Hero, angle haut droit : note sur 5. Vide : le bloc Trustpilot n'apparait pas.</t>
        </is>
      </c>
    </row>
    <row r="6" ht="44" customHeight="1">
      <c r="A6" s="15" t="inlineStr">
        <is>
          <t>trustpilot_review_count</t>
        </is>
      </c>
      <c r="B6" s="21" t="n">
        <v>4995</v>
      </c>
      <c r="C6" s="22" t="n">
        <v>1200</v>
      </c>
      <c r="D6" s="18" t="inlineStr">
        <is>
          <t>Nombre d'avis sous la note.</t>
        </is>
      </c>
    </row>
    <row r="7" ht="44" customHeight="1">
      <c r="A7" s="15" t="inlineStr">
        <is>
          <t>trustpilot_url</t>
        </is>
      </c>
      <c r="B7" s="16" t="inlineStr">
        <is>
          <t>https://www.trustpilot.com/review/www.earn2trade.com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A structured path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Choose between climbing to $400K or funding your target size straight away. Single-step evaluation, no minimum trading days, weekly payouts.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Earn2Trade is a US company specialised in futures. It runs the evaluation and the training, then connects successful traders with partner trading firms that provide the funded account.
Its flagship program, the Trader Career Path, works like a ladder: you start with a $25,000 evaluation, and each goal you reach unlocks a larger account ($50K, $100K, then $200K).
You trade only futures contracts listed on the CME, COMEX, NYMEX and CBOT, on around twenty platforms including NinjaTrader, Tradovate and TradingView. A training library is included.</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c r="C13" s="24" t="n">
        <v>2024</v>
      </c>
      <c r="D13" s="18" t="inlineStr">
        <is>
          <t>« Founded ». Vide : « — ».</t>
        </is>
      </c>
    </row>
    <row r="14" ht="44" customHeight="1">
      <c r="A14" s="15" t="inlineStr">
        <is>
          <t>pays</t>
        </is>
      </c>
      <c r="B14" s="16" t="inlineStr">
        <is>
          <t>United States</t>
        </is>
      </c>
      <c r="C14" s="17" t="inlineStr">
        <is>
          <t>Italy</t>
        </is>
      </c>
      <c r="D14" s="18" t="inlineStr">
        <is>
          <t>« Country ».</t>
        </is>
      </c>
    </row>
    <row r="15" ht="44" customHeight="1">
      <c r="A15" s="15" t="inlineStr">
        <is>
          <t>ceo_fondateur</t>
        </is>
      </c>
      <c r="B15" s="16" t="inlineStr">
        <is>
          <t>Osvaldo Guimarães</t>
        </is>
      </c>
      <c r="C15" s="17" t="inlineStr">
        <is>
          <t>Christian Habibi</t>
        </is>
      </c>
      <c r="D15" s="18" t="inlineStr">
        <is>
          <t>« CEO / Founder ». Vide : « — ».</t>
        </is>
      </c>
    </row>
    <row r="16" ht="44" customHeight="1">
      <c r="A16" s="15" t="inlineStr">
        <is>
          <t>actifs</t>
        </is>
      </c>
      <c r="B16" s="16" t="inlineStr">
        <is>
          <t>Futures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n"/>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Rise, Deel, Bayzat, Direct crypto</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inlineStr">
        <is>
          <t>Futures prop firm: Trader Career Path from $25K to $200K, end-of-day drawdown in the evaluation, split up to 80%, weekly payouts. Rules and pitfalls.</t>
        </is>
      </c>
      <c r="C26" s="17" t="n"/>
      <c r="D26" s="18" t="inlineStr">
        <is>
          <t>Meta description de la page (Google). Vide : calculee depuis la presentation. 160 caracteres au plus.</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No minimum trading days</t>
        </is>
      </c>
      <c r="C3" s="17" t="inlineStr">
        <is>
          <t>In the evaluation and once funded.</t>
        </is>
      </c>
    </row>
    <row r="4">
      <c r="A4" s="24" t="n">
        <v>2</v>
      </c>
      <c r="B4" s="17" t="inlineStr">
        <is>
          <t>Weekly payouts</t>
        </is>
      </c>
      <c r="C4" s="17" t="inlineStr">
        <is>
          <t>Every Wednesday, from $100 net.</t>
        </is>
      </c>
    </row>
    <row r="5">
      <c r="A5" s="23" t="n">
        <v>3</v>
      </c>
      <c r="B5" s="16" t="inlineStr">
        <is>
          <t>LiveSim or Live</t>
        </is>
      </c>
      <c r="C5" s="16" t="inlineStr">
        <is>
          <t>After you pass, choose simulated or real capital.</t>
        </is>
      </c>
    </row>
    <row r="6">
      <c r="A6" s="23" t="n">
        <v>4</v>
      </c>
      <c r="B6" s="16" t="inlineStr">
        <is>
          <t>30% consistency</t>
        </is>
      </c>
      <c r="C6" s="16" t="inlineStr">
        <is>
          <t>Applies during the evaluation only.</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NinjaTrader</t>
        </is>
      </c>
      <c r="B3" s="17" t="inlineStr">
        <is>
          <t>oui</t>
        </is>
      </c>
      <c r="C3" s="17" t="inlineStr">
        <is>
          <t>Free during the evaluation (help centre, article 2090521).</t>
        </is>
      </c>
      <c r="D3" t="inlineStr">
        <is>
          <t>https://ninjatrader.com/assets/dist/images/favicons/apple-touch-icon.png</t>
        </is>
      </c>
    </row>
    <row r="4">
      <c r="A4" s="17" t="inlineStr">
        <is>
          <t>Finamark</t>
        </is>
      </c>
      <c r="B4" s="17" t="inlineStr">
        <is>
          <t>oui</t>
        </is>
      </c>
      <c r="C4" s="17" t="inlineStr">
        <is>
          <t>Free during the evaluation (help centre, article 2090521).</t>
        </is>
      </c>
    </row>
    <row r="5">
      <c r="A5" s="16" t="inlineStr">
        <is>
          <t>R | Trader Pro</t>
        </is>
      </c>
      <c r="B5" s="16" t="inlineStr">
        <is>
          <t>oui</t>
        </is>
      </c>
      <c r="C5" s="16" t="inlineStr">
        <is>
          <t>Free during the evaluation (help centre, article 2090521).</t>
        </is>
      </c>
      <c r="D5" t="inlineStr">
        <is>
          <t>https://www.rithmic.com/favicon.png</t>
        </is>
      </c>
    </row>
    <row r="6">
      <c r="A6" s="16" t="inlineStr">
        <is>
          <t>Tradovate</t>
        </is>
      </c>
      <c r="B6" s="16" t="inlineStr">
        <is>
          <t>oui</t>
        </is>
      </c>
      <c r="C6" s="16" t="inlineStr">
        <is>
          <t>Free during the evaluation (help centre, article 2090521).</t>
        </is>
      </c>
    </row>
    <row r="7">
      <c r="A7" s="16" t="inlineStr">
        <is>
          <t>TradingView</t>
        </is>
      </c>
      <c r="B7" s="16" t="inlineStr">
        <is>
          <t>oui</t>
        </is>
      </c>
      <c r="C7" s="16" t="inlineStr">
        <is>
          <t>Free during the evaluation (help centre, article 2090521).</t>
        </is>
      </c>
      <c r="D7" t="inlineStr">
        <is>
          <t>https://static.tradingview.com/static/images/favicon/apple-touch-icon-180x180.png</t>
        </is>
      </c>
    </row>
    <row r="8">
      <c r="A8" s="16" t="inlineStr">
        <is>
          <t>BlackArrow One</t>
        </is>
      </c>
      <c r="B8" s="16" t="inlineStr">
        <is>
          <t>oui</t>
        </is>
      </c>
      <c r="C8" s="16" t="inlineStr">
        <is>
          <t>Free during the evaluation (help centre, article 2090521).</t>
        </is>
      </c>
    </row>
    <row r="9">
      <c r="A9" s="16" t="inlineStr">
        <is>
          <t>Quantower</t>
        </is>
      </c>
      <c r="B9" s="16" t="inlineStr">
        <is>
          <t>non</t>
        </is>
      </c>
      <c r="C9" s="16" t="inlineStr">
        <is>
          <t>Usable with your own licence (help centre, article 2090521).</t>
        </is>
      </c>
    </row>
    <row r="10">
      <c r="A10" s="16" t="inlineStr">
        <is>
          <t>ATAS</t>
        </is>
      </c>
      <c r="B10" s="16" t="inlineStr">
        <is>
          <t>non</t>
        </is>
      </c>
      <c r="C10" s="16" t="inlineStr">
        <is>
          <t>Usable with your own licence (help centre, article 2090521).</t>
        </is>
      </c>
    </row>
    <row r="11">
      <c r="A11" s="16" t="inlineStr">
        <is>
          <t>MultiCharts</t>
        </is>
      </c>
      <c r="B11" s="16" t="inlineStr">
        <is>
          <t>non</t>
        </is>
      </c>
      <c r="C11" s="16" t="inlineStr">
        <is>
          <t>Usable with your own licence (help centre, article 2090521).</t>
        </is>
      </c>
    </row>
    <row r="12">
      <c r="A12" s="16" t="inlineStr">
        <is>
          <t>Sierra Chart</t>
        </is>
      </c>
      <c r="B12" s="16" t="inlineStr">
        <is>
          <t>non</t>
        </is>
      </c>
      <c r="C12" s="16" t="inlineStr">
        <is>
          <t>Usable with your own licence (help centre, article 2090521).</t>
        </is>
      </c>
    </row>
    <row r="13">
      <c r="A13" s="16" t="inlineStr">
        <is>
          <t>Bookmap</t>
        </is>
      </c>
      <c r="B13" s="16" t="inlineStr">
        <is>
          <t>non</t>
        </is>
      </c>
      <c r="C13" s="16" t="inlineStr">
        <is>
          <t>Usable with your own licence (help centre, article 2090521).</t>
        </is>
      </c>
    </row>
    <row r="14">
      <c r="A14" s="16" t="inlineStr">
        <is>
          <t>MotiveWave</t>
        </is>
      </c>
      <c r="B14" s="16" t="inlineStr">
        <is>
          <t>non</t>
        </is>
      </c>
      <c r="C14" s="16" t="inlineStr">
        <is>
          <t>Usable with your own licence (help centre, article 2090521).</t>
        </is>
      </c>
    </row>
    <row r="15">
      <c r="A15" s="16" t="inlineStr">
        <is>
          <t>Jigsaw Trading</t>
        </is>
      </c>
      <c r="B15" s="16" t="inlineStr">
        <is>
          <t>non</t>
        </is>
      </c>
      <c r="C15" s="16" t="inlineStr">
        <is>
          <t>Usable with your own licence (help centre, article 2090521).</t>
        </is>
      </c>
    </row>
    <row r="16">
      <c r="A16" s="16" t="inlineStr">
        <is>
          <t>Investor RT</t>
        </is>
      </c>
      <c r="B16" s="16" t="inlineStr">
        <is>
          <t>non</t>
        </is>
      </c>
      <c r="C16" s="16" t="inlineStr">
        <is>
          <t>Usable with your own licence (help centre, article 2090521).</t>
        </is>
      </c>
    </row>
    <row r="17">
      <c r="A17" s="16" t="inlineStr">
        <is>
          <t>Inside Edge Trader</t>
        </is>
      </c>
      <c r="B17" s="16" t="inlineStr">
        <is>
          <t>non</t>
        </is>
      </c>
      <c r="C17" s="16" t="inlineStr">
        <is>
          <t>Usable with your own licence (help centre, article 2090521).</t>
        </is>
      </c>
    </row>
    <row r="18">
      <c r="A18" s="16" t="inlineStr">
        <is>
          <t>Photon</t>
        </is>
      </c>
      <c r="B18" s="16" t="inlineStr">
        <is>
          <t>non</t>
        </is>
      </c>
      <c r="C18" s="16" t="inlineStr">
        <is>
          <t>Usable with your own licence (help centre, article 2090521).</t>
        </is>
      </c>
    </row>
    <row r="19">
      <c r="A19" s="16" t="inlineStr">
        <is>
          <t>QScalp</t>
        </is>
      </c>
      <c r="B19" s="16" t="inlineStr">
        <is>
          <t>non</t>
        </is>
      </c>
      <c r="C19" s="16" t="inlineStr">
        <is>
          <t>Usable with your own licence (help centre, article 2090521).</t>
        </is>
      </c>
    </row>
    <row r="20">
      <c r="A20" s="16" t="inlineStr">
        <is>
          <t>QSI</t>
        </is>
      </c>
      <c r="B20" s="16" t="inlineStr">
        <is>
          <t>non</t>
        </is>
      </c>
      <c r="C20" s="16" t="inlineStr">
        <is>
          <t>Usable with your own licence (help centre, article 2090521).</t>
        </is>
      </c>
    </row>
    <row r="21">
      <c r="A21" s="16" t="inlineStr">
        <is>
          <t>ScalpTool</t>
        </is>
      </c>
      <c r="B21" s="16" t="inlineStr">
        <is>
          <t>non</t>
        </is>
      </c>
      <c r="C21" s="16" t="inlineStr">
        <is>
          <t>Usable with your own licence (help centre, article 2090521).</t>
        </is>
      </c>
    </row>
    <row r="22">
      <c r="A22" s="16" t="inlineStr">
        <is>
          <t>Trade Navigator</t>
        </is>
      </c>
      <c r="B22" s="16" t="inlineStr">
        <is>
          <t>non</t>
        </is>
      </c>
      <c r="C22" s="16" t="inlineStr">
        <is>
          <t>Usable with your own licence (help centre, article 2090521).</t>
        </is>
      </c>
    </row>
    <row r="23">
      <c r="A23" s="16" t="inlineStr">
        <is>
          <t>Volfix.net</t>
        </is>
      </c>
      <c r="B23" s="16" t="inlineStr">
        <is>
          <t>non</t>
        </is>
      </c>
      <c r="C23" s="16" t="inlineStr">
        <is>
          <t>Usable with your own licence (help centre, article 2090521).</t>
        </is>
      </c>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7" t="inlineStr">
        <is>
          <t>tcp</t>
        </is>
      </c>
      <c r="B3" s="17" t="inlineStr">
        <is>
          <t>Trader Career Path</t>
        </is>
      </c>
      <c r="C3" s="17" t="inlineStr">
        <is>
          <t>futures</t>
        </is>
      </c>
      <c r="D3" s="17" t="inlineStr">
        <is>
          <t>evaluation</t>
        </is>
      </c>
      <c r="E3" s="17" t="inlineStr">
        <is>
          <t>active</t>
        </is>
      </c>
      <c r="F3" s="17" t="inlineStr">
        <is>
          <t>Start smaller, climb higher</t>
        </is>
      </c>
      <c r="G3" s="17" t="inlineStr">
        <is>
          <t>Start at $25K, $50K or $100K, then move up step by step to a $200K Live account.</t>
        </is>
      </c>
      <c r="H3" s="24" t="n"/>
      <c r="I3" s="17" t="n"/>
      <c r="J3" s="17" t="n"/>
      <c r="K3" s="26">
        <f>IF(A3="","",COUNTIF(Plans!$A$3:$A$300,A3))</f>
        <v/>
      </c>
    </row>
    <row r="4">
      <c r="A4" s="16" t="inlineStr">
        <is>
          <t>gauntlet-mini</t>
        </is>
      </c>
      <c r="B4" s="16" t="inlineStr">
        <is>
          <t>Gauntlet Mini</t>
        </is>
      </c>
      <c r="C4" s="16" t="inlineStr">
        <is>
          <t>futures</t>
        </is>
      </c>
      <c r="D4" s="16" t="inlineStr">
        <is>
          <t>evaluation</t>
        </is>
      </c>
      <c r="E4" s="16" t="inlineStr">
        <is>
          <t>active</t>
        </is>
      </c>
      <c r="F4" s="16" t="inlineStr">
        <is>
          <t>Start at your target size</t>
        </is>
      </c>
      <c r="G4" s="16" t="inlineStr">
        <is>
          <t>A single-phase evaluation at the account size you want, from $50K to $200K.</t>
        </is>
      </c>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M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row>
    <row r="3">
      <c r="A3" s="17" t="inlineStr">
        <is>
          <t>tcp</t>
        </is>
      </c>
      <c r="B3" s="22" t="n">
        <v>25000</v>
      </c>
      <c r="C3" s="17" t="n"/>
      <c r="D3" s="17" t="inlineStr">
        <is>
          <t>USD</t>
        </is>
      </c>
      <c r="E3" s="27" t="n">
        <v>150</v>
      </c>
      <c r="F3" s="17" t="inlineStr">
        <is>
          <t>oui</t>
        </is>
      </c>
      <c r="G3" s="17" t="inlineStr">
        <is>
          <t>subscription</t>
        </is>
      </c>
      <c r="H3" s="17" t="inlineStr">
        <is>
          <t>monthly</t>
        </is>
      </c>
      <c r="I3" s="27" t="n"/>
      <c r="J3" s="27" t="n"/>
      <c r="K3" s="26">
        <f>IF(A3="","",SUMPRODUCT((Phases!$A$3:$A$900=A3)*(Phases!$B$3:$B$900=B3)*(Phases!$C$3:$C$900=C3)))</f>
        <v/>
      </c>
      <c r="L3" s="28">
        <f>IF(A3="","",IF(COUNTIF(Programmes!$A$3:$A$60,A3)=0,"programme inconnu",IF(K3=0,"aucune phase","ok")))</f>
        <v/>
      </c>
    </row>
    <row r="4">
      <c r="A4" s="16" t="inlineStr">
        <is>
          <t>tcp</t>
        </is>
      </c>
      <c r="B4" s="21" t="n">
        <v>50000</v>
      </c>
      <c r="C4" s="16" t="n"/>
      <c r="D4" s="16" t="inlineStr">
        <is>
          <t>USD</t>
        </is>
      </c>
      <c r="E4" s="29" t="n">
        <v>190</v>
      </c>
      <c r="F4" s="16" t="n"/>
      <c r="G4" s="16" t="inlineStr">
        <is>
          <t>subscription</t>
        </is>
      </c>
      <c r="H4" s="16" t="inlineStr">
        <is>
          <t>monthly</t>
        </is>
      </c>
      <c r="I4" s="29" t="n"/>
      <c r="J4" s="29" t="n"/>
      <c r="K4" s="26">
        <f>IF(A4="","",SUMPRODUCT((Phases!$A$3:$A$900=A4)*(Phases!$B$3:$B$900=B4)*(Phases!$C$3:$C$900=C4)))</f>
        <v/>
      </c>
      <c r="L4" s="28">
        <f>IF(A4="","",IF(COUNTIF(Programmes!$A$3:$A$60,A4)=0,"programme inconnu",IF(K4=0,"aucune phase","ok")))</f>
        <v/>
      </c>
    </row>
    <row r="5">
      <c r="A5" s="16" t="inlineStr">
        <is>
          <t>tcp</t>
        </is>
      </c>
      <c r="B5" s="21" t="n">
        <v>100000</v>
      </c>
      <c r="C5" s="16" t="n"/>
      <c r="D5" s="16" t="inlineStr">
        <is>
          <t>USD</t>
        </is>
      </c>
      <c r="E5" s="29" t="n">
        <v>350</v>
      </c>
      <c r="F5" s="16" t="n"/>
      <c r="G5" s="16" t="inlineStr">
        <is>
          <t>subscription</t>
        </is>
      </c>
      <c r="H5" s="16" t="inlineStr">
        <is>
          <t>monthly</t>
        </is>
      </c>
      <c r="I5" s="29" t="n">
        <v>100</v>
      </c>
      <c r="J5" s="29" t="n"/>
      <c r="K5" s="26">
        <f>IF(A5="","",SUMPRODUCT((Phases!$A$3:$A$900=A5)*(Phases!$B$3:$B$900=B5)*(Phases!$C$3:$C$900=C5)))</f>
        <v/>
      </c>
      <c r="L5" s="28">
        <f>IF(A5="","",IF(COUNTIF(Programmes!$A$3:$A$60,A5)=0,"programme inconnu",IF(K5=0,"aucune phase","ok")))</f>
        <v/>
      </c>
    </row>
    <row r="6">
      <c r="A6" s="16" t="inlineStr">
        <is>
          <t>gauntlet-mini</t>
        </is>
      </c>
      <c r="B6" s="21" t="n">
        <v>50000</v>
      </c>
      <c r="C6" s="16" t="n"/>
      <c r="D6" s="16" t="inlineStr">
        <is>
          <t>USD</t>
        </is>
      </c>
      <c r="E6" s="29" t="n">
        <v>170</v>
      </c>
      <c r="F6" s="16" t="n"/>
      <c r="G6" s="16" t="inlineStr">
        <is>
          <t>subscription</t>
        </is>
      </c>
      <c r="H6" s="16" t="inlineStr">
        <is>
          <t>monthly</t>
        </is>
      </c>
      <c r="I6" s="29" t="n"/>
      <c r="J6" s="29" t="n"/>
      <c r="K6" s="26">
        <f>IF(A6="","",SUMPRODUCT((Phases!$A$3:$A$900=A6)*(Phases!$B$3:$B$900=B6)*(Phases!$C$3:$C$900=C6)))</f>
        <v/>
      </c>
      <c r="L6" s="28">
        <f>IF(A6="","",IF(COUNTIF(Programmes!$A$3:$A$60,A6)=0,"programme inconnu",IF(K6=0,"aucune phase","ok")))</f>
        <v/>
      </c>
    </row>
    <row r="7">
      <c r="A7" s="16" t="inlineStr">
        <is>
          <t>gauntlet-mini</t>
        </is>
      </c>
      <c r="B7" s="21" t="n">
        <v>100000</v>
      </c>
      <c r="C7" s="16" t="n"/>
      <c r="D7" s="16" t="inlineStr">
        <is>
          <t>USD</t>
        </is>
      </c>
      <c r="E7" s="29" t="n">
        <v>315</v>
      </c>
      <c r="F7" s="16" t="n"/>
      <c r="G7" s="16" t="inlineStr">
        <is>
          <t>subscription</t>
        </is>
      </c>
      <c r="H7" s="16" t="inlineStr">
        <is>
          <t>monthly</t>
        </is>
      </c>
      <c r="I7" s="29" t="n"/>
      <c r="J7" s="29" t="n"/>
      <c r="K7" s="26">
        <f>IF(A7="","",SUMPRODUCT((Phases!$A$3:$A$900=A7)*(Phases!$B$3:$B$900=B7)*(Phases!$C$3:$C$900=C7)))</f>
        <v/>
      </c>
      <c r="L7" s="28">
        <f>IF(A7="","",IF(COUNTIF(Programmes!$A$3:$A$60,A7)=0,"programme inconnu",IF(K7=0,"aucune phase","ok")))</f>
        <v/>
      </c>
    </row>
    <row r="8">
      <c r="A8" s="16" t="inlineStr">
        <is>
          <t>gauntlet-mini</t>
        </is>
      </c>
      <c r="B8" s="21" t="n">
        <v>150000</v>
      </c>
      <c r="C8" s="16" t="n"/>
      <c r="D8" s="16" t="inlineStr">
        <is>
          <t>USD</t>
        </is>
      </c>
      <c r="E8" s="29" t="n">
        <v>375</v>
      </c>
      <c r="F8" s="16" t="n"/>
      <c r="G8" s="16" t="inlineStr">
        <is>
          <t>subscription</t>
        </is>
      </c>
      <c r="H8" s="16" t="inlineStr">
        <is>
          <t>monthly</t>
        </is>
      </c>
      <c r="I8" s="29" t="n"/>
      <c r="J8" s="29" t="n"/>
      <c r="K8" s="26">
        <f>IF(A8="","",SUMPRODUCT((Phases!$A$3:$A$900=A8)*(Phases!$B$3:$B$900=B8)*(Phases!$C$3:$C$900=C8)))</f>
        <v/>
      </c>
      <c r="L8" s="28">
        <f>IF(A8="","",IF(COUNTIF(Programmes!$A$3:$A$60,A8)=0,"programme inconnu",IF(K8=0,"aucune phase","ok")))</f>
        <v/>
      </c>
    </row>
    <row r="9">
      <c r="A9" s="16" t="inlineStr">
        <is>
          <t>gauntlet-mini</t>
        </is>
      </c>
      <c r="B9" s="21" t="n">
        <v>200000</v>
      </c>
      <c r="C9" s="16" t="n"/>
      <c r="D9" s="16" t="inlineStr">
        <is>
          <t>USD</t>
        </is>
      </c>
      <c r="E9" s="29" t="n">
        <v>550</v>
      </c>
      <c r="F9" s="16" t="n"/>
      <c r="G9" s="16" t="inlineStr">
        <is>
          <t>subscription</t>
        </is>
      </c>
      <c r="H9" s="16" t="inlineStr">
        <is>
          <t>monthly</t>
        </is>
      </c>
      <c r="I9" s="29" t="n"/>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tcp</t>
        </is>
      </c>
      <c r="B3" s="22" t="n">
        <v>25000</v>
      </c>
      <c r="C3" s="17" t="n"/>
      <c r="D3" s="17" t="inlineStr">
        <is>
          <t>evaluation</t>
        </is>
      </c>
      <c r="E3" s="22" t="n">
        <v>1750</v>
      </c>
      <c r="F3" s="22" t="n">
        <v>1500</v>
      </c>
      <c r="G3" s="17" t="inlineStr">
        <is>
          <t>End of Day</t>
        </is>
      </c>
      <c r="H3" s="22" t="n">
        <v>550</v>
      </c>
      <c r="I3" s="24" t="n">
        <v>0</v>
      </c>
      <c r="J3" s="30" t="n">
        <v>0.3</v>
      </c>
      <c r="K3" s="24" t="n">
        <v>3</v>
      </c>
      <c r="L3" s="30" t="n"/>
      <c r="M3" s="22" t="n"/>
      <c r="N3" s="22" t="n"/>
      <c r="O3" s="28">
        <f>IF(A3="","",IF(SUMPRODUCT((Plans!$A$3:$A$300=A3)*(Plans!$B$3:$B$300=B3)*(Plans!$C$3:$C$300=C3))=0,"PLAN INCONNU","ok"))</f>
        <v/>
      </c>
    </row>
    <row r="4">
      <c r="A4" s="17" t="inlineStr">
        <is>
          <t>tcp</t>
        </is>
      </c>
      <c r="B4" s="22" t="n">
        <v>25000</v>
      </c>
      <c r="C4" s="17" t="n"/>
      <c r="D4" s="17" t="inlineStr">
        <is>
          <t>funded</t>
        </is>
      </c>
      <c r="E4" s="22" t="n"/>
      <c r="F4" s="22" t="n">
        <v>1500</v>
      </c>
      <c r="G4" s="17" t="inlineStr">
        <is>
          <t>EOD on LiveSim, trailing on Live</t>
        </is>
      </c>
      <c r="H4" s="22" t="n">
        <v>550</v>
      </c>
      <c r="I4" s="24" t="n">
        <v>0</v>
      </c>
      <c r="J4" s="30" t="inlineStr">
        <is>
          <t>aucune</t>
        </is>
      </c>
      <c r="K4" s="24" t="n">
        <v>3</v>
      </c>
      <c r="L4" s="30" t="n">
        <v>0.8</v>
      </c>
      <c r="M4" s="22" t="n"/>
      <c r="N4" s="22" t="n">
        <v>100</v>
      </c>
      <c r="O4" s="28">
        <f>IF(A4="","",IF(SUMPRODUCT((Plans!$A$3:$A$300=A4)*(Plans!$B$3:$B$300=B4)*(Plans!$C$3:$C$300=C4))=0,"PLAN INCONNU","ok"))</f>
        <v/>
      </c>
      <c r="P4" t="n">
        <v>0.5</v>
      </c>
      <c r="Q4" t="n">
        <v>1500</v>
      </c>
    </row>
    <row r="5">
      <c r="A5" s="16" t="inlineStr">
        <is>
          <t>tcp</t>
        </is>
      </c>
      <c r="B5" s="21" t="n">
        <v>50000</v>
      </c>
      <c r="C5" s="16" t="n"/>
      <c r="D5" s="16" t="inlineStr">
        <is>
          <t>evaluation</t>
        </is>
      </c>
      <c r="E5" s="21" t="n">
        <v>3000</v>
      </c>
      <c r="F5" s="21" t="n">
        <v>2000</v>
      </c>
      <c r="G5" s="16" t="inlineStr">
        <is>
          <t>End of Day</t>
        </is>
      </c>
      <c r="H5" s="21" t="n">
        <v>1100</v>
      </c>
      <c r="I5" s="23" t="n">
        <v>0</v>
      </c>
      <c r="J5" s="31" t="n">
        <v>0.3</v>
      </c>
      <c r="K5" s="23" t="n">
        <v>6</v>
      </c>
      <c r="L5" s="31" t="n"/>
      <c r="M5" s="21" t="n"/>
      <c r="N5" s="21" t="n"/>
      <c r="O5" s="28">
        <f>IF(A5="","",IF(SUMPRODUCT((Plans!$A$3:$A$300=A5)*(Plans!$B$3:$B$300=B5)*(Plans!$C$3:$C$300=C5))=0,"PLAN INCONNU","ok"))</f>
        <v/>
      </c>
    </row>
    <row r="6">
      <c r="A6" s="16" t="inlineStr">
        <is>
          <t>tcp</t>
        </is>
      </c>
      <c r="B6" s="21" t="n">
        <v>50000</v>
      </c>
      <c r="C6" s="16" t="n"/>
      <c r="D6" s="16" t="inlineStr">
        <is>
          <t>funded</t>
        </is>
      </c>
      <c r="E6" s="21" t="n"/>
      <c r="F6" s="21" t="n">
        <v>2000</v>
      </c>
      <c r="G6" s="16" t="inlineStr">
        <is>
          <t>EOD on LiveSim, trailing on Live</t>
        </is>
      </c>
      <c r="H6" s="21" t="n">
        <v>1100</v>
      </c>
      <c r="I6" s="23" t="n">
        <v>0</v>
      </c>
      <c r="J6" s="31" t="inlineStr">
        <is>
          <t>aucune</t>
        </is>
      </c>
      <c r="K6" s="23" t="n">
        <v>6</v>
      </c>
      <c r="L6" s="31" t="n">
        <v>0.8</v>
      </c>
      <c r="M6" s="21" t="n"/>
      <c r="N6" s="21" t="n">
        <v>100</v>
      </c>
      <c r="O6" s="28">
        <f>IF(A6="","",IF(SUMPRODUCT((Plans!$A$3:$A$300=A6)*(Plans!$B$3:$B$300=B6)*(Plans!$C$3:$C$300=C6))=0,"PLAN INCONNU","ok"))</f>
        <v/>
      </c>
      <c r="P6" t="n">
        <v>0.5</v>
      </c>
      <c r="Q6" t="n">
        <v>2250</v>
      </c>
    </row>
    <row r="7">
      <c r="A7" s="16" t="inlineStr">
        <is>
          <t>tcp</t>
        </is>
      </c>
      <c r="B7" s="21" t="n">
        <v>100000</v>
      </c>
      <c r="C7" s="16" t="n"/>
      <c r="D7" s="16" t="inlineStr">
        <is>
          <t>evaluation</t>
        </is>
      </c>
      <c r="E7" s="21" t="n">
        <v>6000</v>
      </c>
      <c r="F7" s="21" t="n">
        <v>3500</v>
      </c>
      <c r="G7" s="16" t="inlineStr">
        <is>
          <t>End of Day</t>
        </is>
      </c>
      <c r="H7" s="21" t="n">
        <v>2200</v>
      </c>
      <c r="I7" s="23" t="n">
        <v>0</v>
      </c>
      <c r="J7" s="31" t="n">
        <v>0.3</v>
      </c>
      <c r="K7" s="23" t="n">
        <v>12</v>
      </c>
      <c r="L7" s="31" t="n"/>
      <c r="M7" s="21" t="n"/>
      <c r="N7" s="21" t="n"/>
      <c r="O7" s="28">
        <f>IF(A7="","",IF(SUMPRODUCT((Plans!$A$3:$A$300=A7)*(Plans!$B$3:$B$300=B7)*(Plans!$C$3:$C$300=C7))=0,"PLAN INCONNU","ok"))</f>
        <v/>
      </c>
    </row>
    <row r="8">
      <c r="A8" s="16" t="inlineStr">
        <is>
          <t>tcp</t>
        </is>
      </c>
      <c r="B8" s="21" t="n">
        <v>100000</v>
      </c>
      <c r="C8" s="16" t="n"/>
      <c r="D8" s="16" t="inlineStr">
        <is>
          <t>funded</t>
        </is>
      </c>
      <c r="E8" s="21" t="n"/>
      <c r="F8" s="21" t="n">
        <v>3500</v>
      </c>
      <c r="G8" s="16" t="inlineStr">
        <is>
          <t>EOD on LiveSim, trailing on Live</t>
        </is>
      </c>
      <c r="H8" s="21" t="n">
        <v>2200</v>
      </c>
      <c r="I8" s="23" t="n">
        <v>0</v>
      </c>
      <c r="J8" s="31" t="inlineStr">
        <is>
          <t>aucune</t>
        </is>
      </c>
      <c r="K8" s="23" t="n">
        <v>12</v>
      </c>
      <c r="L8" s="31" t="n">
        <v>0.8</v>
      </c>
      <c r="M8" s="21" t="n"/>
      <c r="N8" s="21" t="n">
        <v>100</v>
      </c>
      <c r="O8" s="28">
        <f>IF(A8="","",IF(SUMPRODUCT((Plans!$A$3:$A$300=A8)*(Plans!$B$3:$B$300=B8)*(Plans!$C$3:$C$300=C8))=0,"PLAN INCONNU","ok"))</f>
        <v/>
      </c>
      <c r="P8" t="n">
        <v>0.5</v>
      </c>
      <c r="Q8" t="n">
        <v>3000</v>
      </c>
    </row>
    <row r="9">
      <c r="A9" s="16" t="inlineStr">
        <is>
          <t>gauntlet-mini</t>
        </is>
      </c>
      <c r="B9" s="21" t="n">
        <v>50000</v>
      </c>
      <c r="C9" s="16" t="n"/>
      <c r="D9" s="16" t="inlineStr">
        <is>
          <t>evaluation</t>
        </is>
      </c>
      <c r="E9" s="21" t="n">
        <v>3000</v>
      </c>
      <c r="F9" s="21" t="n">
        <v>2000</v>
      </c>
      <c r="G9" s="16" t="inlineStr">
        <is>
          <t>End of Day</t>
        </is>
      </c>
      <c r="H9" s="21" t="n">
        <v>1100</v>
      </c>
      <c r="I9" s="23" t="n">
        <v>0</v>
      </c>
      <c r="J9" s="31" t="n">
        <v>0.3</v>
      </c>
      <c r="K9" s="23" t="n">
        <v>6</v>
      </c>
      <c r="L9" s="31" t="n"/>
      <c r="M9" s="21" t="n"/>
      <c r="N9" s="21" t="n"/>
      <c r="O9" s="28">
        <f>IF(A9="","",IF(SUMPRODUCT((Plans!$A$3:$A$300=A9)*(Plans!$B$3:$B$300=B9)*(Plans!$C$3:$C$300=C9))=0,"PLAN INCONNU","ok"))</f>
        <v/>
      </c>
    </row>
    <row r="10">
      <c r="A10" s="16" t="inlineStr">
        <is>
          <t>gauntlet-mini</t>
        </is>
      </c>
      <c r="B10" s="21" t="n">
        <v>50000</v>
      </c>
      <c r="C10" s="16" t="n"/>
      <c r="D10" s="16" t="inlineStr">
        <is>
          <t>funded</t>
        </is>
      </c>
      <c r="E10" s="21" t="n"/>
      <c r="F10" s="21" t="n">
        <v>2000</v>
      </c>
      <c r="G10" s="16" t="inlineStr">
        <is>
          <t>EOD on LiveSim, trailing on Live</t>
        </is>
      </c>
      <c r="H10" s="21" t="n">
        <v>1100</v>
      </c>
      <c r="I10" s="23" t="n">
        <v>0</v>
      </c>
      <c r="J10" s="31" t="inlineStr">
        <is>
          <t>aucune</t>
        </is>
      </c>
      <c r="K10" s="23" t="n">
        <v>6</v>
      </c>
      <c r="L10" s="31" t="n">
        <v>0.8</v>
      </c>
      <c r="M10" s="21" t="n"/>
      <c r="N10" s="21" t="n">
        <v>100</v>
      </c>
      <c r="O10" s="28">
        <f>IF(A10="","",IF(SUMPRODUCT((Plans!$A$3:$A$300=A10)*(Plans!$B$3:$B$300=B10)*(Plans!$C$3:$C$300=C10))=0,"PLAN INCONNU","ok"))</f>
        <v/>
      </c>
      <c r="P10" t="n">
        <v>0.5</v>
      </c>
      <c r="Q10" t="n">
        <v>2250</v>
      </c>
    </row>
    <row r="11">
      <c r="A11" s="16" t="inlineStr">
        <is>
          <t>gauntlet-mini</t>
        </is>
      </c>
      <c r="B11" s="21" t="n">
        <v>100000</v>
      </c>
      <c r="C11" s="16" t="n"/>
      <c r="D11" s="16" t="inlineStr">
        <is>
          <t>evaluation</t>
        </is>
      </c>
      <c r="E11" s="21" t="n">
        <v>6000</v>
      </c>
      <c r="F11" s="21" t="n">
        <v>3500</v>
      </c>
      <c r="G11" s="16" t="inlineStr">
        <is>
          <t>End of Day</t>
        </is>
      </c>
      <c r="H11" s="21" t="n">
        <v>2200</v>
      </c>
      <c r="I11" s="23" t="n">
        <v>0</v>
      </c>
      <c r="J11" s="31" t="n">
        <v>0.3</v>
      </c>
      <c r="K11" s="23" t="n">
        <v>12</v>
      </c>
      <c r="L11" s="31" t="n"/>
      <c r="M11" s="21" t="n"/>
      <c r="N11" s="21" t="n"/>
      <c r="O11" s="28">
        <f>IF(A11="","",IF(SUMPRODUCT((Plans!$A$3:$A$300=A11)*(Plans!$B$3:$B$300=B11)*(Plans!$C$3:$C$300=C11))=0,"PLAN INCONNU","ok"))</f>
        <v/>
      </c>
    </row>
    <row r="12">
      <c r="A12" s="16" t="inlineStr">
        <is>
          <t>gauntlet-mini</t>
        </is>
      </c>
      <c r="B12" s="21" t="n">
        <v>100000</v>
      </c>
      <c r="C12" s="16" t="n"/>
      <c r="D12" s="16" t="inlineStr">
        <is>
          <t>funded</t>
        </is>
      </c>
      <c r="E12" s="21" t="n"/>
      <c r="F12" s="21" t="n">
        <v>3500</v>
      </c>
      <c r="G12" s="16" t="inlineStr">
        <is>
          <t>EOD on LiveSim, trailing on Live</t>
        </is>
      </c>
      <c r="H12" s="21" t="n">
        <v>2200</v>
      </c>
      <c r="I12" s="23" t="n">
        <v>0</v>
      </c>
      <c r="J12" s="31" t="inlineStr">
        <is>
          <t>aucune</t>
        </is>
      </c>
      <c r="K12" s="23" t="n">
        <v>12</v>
      </c>
      <c r="L12" s="31" t="n">
        <v>0.8</v>
      </c>
      <c r="M12" s="21" t="n"/>
      <c r="N12" s="21" t="n">
        <v>100</v>
      </c>
      <c r="O12" s="28">
        <f>IF(A12="","",IF(SUMPRODUCT((Plans!$A$3:$A$300=A12)*(Plans!$B$3:$B$300=B12)*(Plans!$C$3:$C$300=C12))=0,"PLAN INCONNU","ok"))</f>
        <v/>
      </c>
      <c r="P12" t="n">
        <v>0.5</v>
      </c>
      <c r="Q12" t="n">
        <v>3000</v>
      </c>
    </row>
    <row r="13">
      <c r="A13" s="16" t="inlineStr">
        <is>
          <t>gauntlet-mini</t>
        </is>
      </c>
      <c r="B13" s="21" t="n">
        <v>150000</v>
      </c>
      <c r="C13" s="16" t="n"/>
      <c r="D13" s="16" t="inlineStr">
        <is>
          <t>evaluation</t>
        </is>
      </c>
      <c r="E13" s="21" t="n">
        <v>9000</v>
      </c>
      <c r="F13" s="21" t="n">
        <v>4500</v>
      </c>
      <c r="G13" s="16" t="inlineStr">
        <is>
          <t>End of Day</t>
        </is>
      </c>
      <c r="H13" s="21" t="n">
        <v>3300</v>
      </c>
      <c r="I13" s="23" t="n">
        <v>0</v>
      </c>
      <c r="J13" s="31" t="n">
        <v>0.3</v>
      </c>
      <c r="K13" s="23" t="n">
        <v>15</v>
      </c>
      <c r="L13" s="31" t="n"/>
      <c r="M13" s="21" t="n"/>
      <c r="N13" s="21" t="n"/>
      <c r="O13" s="28">
        <f>IF(A13="","",IF(SUMPRODUCT((Plans!$A$3:$A$300=A13)*(Plans!$B$3:$B$300=B13)*(Plans!$C$3:$C$300=C13))=0,"PLAN INCONNU","ok"))</f>
        <v/>
      </c>
    </row>
    <row r="14">
      <c r="A14" s="16" t="inlineStr">
        <is>
          <t>gauntlet-mini</t>
        </is>
      </c>
      <c r="B14" s="21" t="n">
        <v>150000</v>
      </c>
      <c r="C14" s="16" t="n"/>
      <c r="D14" s="16" t="inlineStr">
        <is>
          <t>funded</t>
        </is>
      </c>
      <c r="E14" s="21" t="n"/>
      <c r="F14" s="21" t="n">
        <v>4500</v>
      </c>
      <c r="G14" s="16" t="inlineStr">
        <is>
          <t>EOD on LiveSim, trailing on Live</t>
        </is>
      </c>
      <c r="H14" s="21" t="n">
        <v>3300</v>
      </c>
      <c r="I14" s="23" t="n">
        <v>0</v>
      </c>
      <c r="J14" s="31" t="inlineStr">
        <is>
          <t>aucune</t>
        </is>
      </c>
      <c r="K14" s="23" t="n">
        <v>15</v>
      </c>
      <c r="L14" s="31" t="n">
        <v>0.8</v>
      </c>
      <c r="M14" s="21" t="n"/>
      <c r="N14" s="21" t="n">
        <v>100</v>
      </c>
      <c r="O14" s="28">
        <f>IF(A14="","",IF(SUMPRODUCT((Plans!$A$3:$A$300=A14)*(Plans!$B$3:$B$300=B14)*(Plans!$C$3:$C$300=C14))=0,"PLAN INCONNU","ok"))</f>
        <v/>
      </c>
      <c r="P14" t="n">
        <v>0.5</v>
      </c>
      <c r="Q14" t="n">
        <v>4000</v>
      </c>
    </row>
    <row r="15">
      <c r="A15" s="16" t="inlineStr">
        <is>
          <t>gauntlet-mini</t>
        </is>
      </c>
      <c r="B15" s="21" t="n">
        <v>200000</v>
      </c>
      <c r="C15" s="16" t="n"/>
      <c r="D15" s="16" t="inlineStr">
        <is>
          <t>evaluation</t>
        </is>
      </c>
      <c r="E15" s="21" t="n">
        <v>11000</v>
      </c>
      <c r="F15" s="21" t="n">
        <v>6000</v>
      </c>
      <c r="G15" s="16" t="inlineStr">
        <is>
          <t>End of Day</t>
        </is>
      </c>
      <c r="H15" s="21" t="n">
        <v>4400</v>
      </c>
      <c r="I15" s="23" t="n">
        <v>0</v>
      </c>
      <c r="J15" s="31" t="n">
        <v>0.3</v>
      </c>
      <c r="K15" s="23" t="n">
        <v>16</v>
      </c>
      <c r="L15" s="31" t="n"/>
      <c r="M15" s="21" t="n"/>
      <c r="N15" s="21" t="n"/>
      <c r="O15" s="28">
        <f>IF(A15="","",IF(SUMPRODUCT((Plans!$A$3:$A$300=A15)*(Plans!$B$3:$B$300=B15)*(Plans!$C$3:$C$300=C15))=0,"PLAN INCONNU","ok"))</f>
        <v/>
      </c>
    </row>
    <row r="16">
      <c r="A16" s="16" t="inlineStr">
        <is>
          <t>gauntlet-mini</t>
        </is>
      </c>
      <c r="B16" s="21" t="n">
        <v>200000</v>
      </c>
      <c r="C16" s="16" t="n"/>
      <c r="D16" s="16" t="inlineStr">
        <is>
          <t>funded</t>
        </is>
      </c>
      <c r="E16" s="21" t="n"/>
      <c r="F16" s="21" t="n">
        <v>6000</v>
      </c>
      <c r="G16" s="16" t="inlineStr">
        <is>
          <t>EOD on LiveSim, trailing on Live</t>
        </is>
      </c>
      <c r="H16" s="21" t="n">
        <v>4400</v>
      </c>
      <c r="I16" s="23" t="n">
        <v>0</v>
      </c>
      <c r="J16" s="31" t="inlineStr">
        <is>
          <t>aucune</t>
        </is>
      </c>
      <c r="K16" s="23" t="n">
        <v>16</v>
      </c>
      <c r="L16" s="31" t="n">
        <v>0.8</v>
      </c>
      <c r="M16" s="21" t="n"/>
      <c r="N16" s="21" t="n">
        <v>100</v>
      </c>
      <c r="O16" s="28">
        <f>IF(A16="","",IF(SUMPRODUCT((Plans!$A$3:$A$300=A16)*(Plans!$B$3:$B$300=B16)*(Plans!$C$3:$C$300=C16))=0,"PLAN INCONNU","ok"))</f>
        <v/>
      </c>
      <c r="P16" t="n">
        <v>0.5</v>
      </c>
      <c r="Q16" t="n">
        <v>5000</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F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s>
  <sheetData>
    <row r="1" ht="30" customHeight="1">
      <c r="A1" s="14" t="inlineStr">
        <is>
          <t>type</t>
        </is>
      </c>
      <c r="B1" s="14" t="inlineStr">
        <is>
          <t>nom</t>
        </is>
      </c>
      <c r="C1" s="14" t="inlineStr">
        <is>
          <t>detail</t>
        </is>
      </c>
      <c r="D1" s="14" t="inlineStr">
        <is>
          <t>parametre</t>
        </is>
      </c>
      <c r="E1" s="14" t="inlineStr">
        <is>
          <t>valeur</t>
        </is>
      </c>
      <c r="F1" s="14" t="inlineStr">
        <is>
          <t>programmes</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0.5</v>
      </c>
      <c r="C3" s="30"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Simulated account, real market data, billed monthly until you pass.</t>
        </is>
      </c>
    </row>
    <row r="4">
      <c r="A4" s="24" t="n">
        <v>2</v>
      </c>
      <c r="B4" s="17" t="inlineStr">
        <is>
          <t>certification</t>
        </is>
      </c>
      <c r="C4" s="17" t="inlineStr">
        <is>
          <t>Certification</t>
        </is>
      </c>
      <c r="D4" s="17" t="inlineStr">
        <is>
          <t>No minimum days. Respect the target, the drawdown, the daily loss and the consistency rule.</t>
        </is>
      </c>
    </row>
    <row r="5">
      <c r="A5" s="24" t="n">
        <v>3</v>
      </c>
      <c r="B5" s="17" t="inlineStr">
        <is>
          <t>funded</t>
        </is>
      </c>
      <c r="C5" s="17" t="inlineStr">
        <is>
          <t>Pick your account</t>
        </is>
      </c>
      <c r="D5" s="17" t="inlineStr">
        <is>
          <t>The partner firm offers a LiveSim or a Live account with the same capital.</t>
        </is>
      </c>
    </row>
    <row r="6">
      <c r="A6" s="23" t="n">
        <v>4</v>
      </c>
      <c r="B6" s="16" t="inlineStr">
        <is>
          <t>payout</t>
        </is>
      </c>
      <c r="C6" s="16" t="inlineStr">
        <is>
          <t>Payouts</t>
        </is>
      </c>
      <c r="D6" s="16" t="inlineStr">
        <is>
          <t>Request before Friday 2:00 PM CT, paid the following Wednesday, from $100.</t>
        </is>
      </c>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inlineStr">
        <is>
          <t>LiveSim</t>
        </is>
      </c>
      <c r="B3" s="16" t="inlineStr">
        <is>
          <t>Simulated capital, real market data, real withdrawals.</t>
        </is>
      </c>
      <c r="C3" s="23" t="n">
        <v>1</v>
      </c>
      <c r="D3" s="16" t="inlineStr">
        <is>
          <t>Drawdown</t>
        </is>
      </c>
      <c r="E3" s="16" t="inlineStr">
        <is>
          <t>End of day</t>
        </is>
      </c>
    </row>
    <row r="4">
      <c r="A4" s="16" t="inlineStr">
        <is>
          <t>LiveSim</t>
        </is>
      </c>
      <c r="B4" s="16" t="n"/>
      <c r="C4" s="23" t="n">
        <v>2</v>
      </c>
      <c r="D4" s="16" t="inlineStr">
        <is>
          <t>Market data</t>
        </is>
      </c>
      <c r="E4" s="16" t="inlineStr">
        <is>
          <t>Included in the $139 activation</t>
        </is>
      </c>
    </row>
    <row r="5">
      <c r="A5" s="16" t="inlineStr">
        <is>
          <t>Live</t>
        </is>
      </c>
      <c r="B5" s="16" t="inlineStr">
        <is>
          <t>Real capital, in a funded account at a partner firm.</t>
        </is>
      </c>
      <c r="C5" s="23" t="n">
        <v>1</v>
      </c>
      <c r="D5" s="16" t="inlineStr">
        <is>
          <t>Drawdown</t>
        </is>
      </c>
      <c r="E5" s="16" t="inlineStr">
        <is>
          <t>Trailing</t>
        </is>
      </c>
    </row>
    <row r="6">
      <c r="A6" s="16" t="inlineStr">
        <is>
          <t>Live</t>
        </is>
      </c>
      <c r="B6" s="16" t="n"/>
      <c r="C6" s="23" t="n">
        <v>2</v>
      </c>
      <c r="D6" s="16" t="inlineStr">
        <is>
          <t>Market data</t>
        </is>
      </c>
      <c r="E6" s="16" t="inlineStr">
        <is>
          <t>$140–156 per month per exchange</t>
        </is>
      </c>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Funded account activation</t>
        </is>
      </c>
      <c r="C3" s="17" t="inlineStr">
        <is>
          <t>$139</t>
        </is>
      </c>
      <c r="D3" s="17" t="inlineStr">
        <is>
          <t>Deducted from your first withdrawal. Nothing to pay upfront.</t>
        </is>
      </c>
      <c r="E3" s="17" t="n"/>
    </row>
    <row r="4">
      <c r="A4" s="23" t="n">
        <v>2</v>
      </c>
      <c r="B4" s="16" t="inlineStr">
        <is>
          <t>Reset (TCP25, TCP50)</t>
        </is>
      </c>
      <c r="C4" s="16" t="inlineStr">
        <is>
          <t>Varies monthly</t>
        </is>
      </c>
      <c r="D4" s="16" t="inlineStr">
        <is>
          <t>Below the price of a new subscription. One free reset at each renewal.</t>
        </is>
      </c>
      <c r="E4" s="16" t="inlineStr">
        <is>
          <t>tcp</t>
        </is>
      </c>
    </row>
    <row r="5">
      <c r="A5" s="23" t="n">
        <v>3</v>
      </c>
      <c r="B5" s="16" t="inlineStr">
        <is>
          <t>Commissions</t>
        </is>
      </c>
      <c r="C5" s="16" t="inlineStr">
        <is>
          <t>Per instrument</t>
        </is>
      </c>
      <c r="D5" s="16" t="inlineStr">
        <is>
          <t>Schedule given at activation.</t>
        </is>
      </c>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J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row>
    <row r="3">
      <c r="A3" s="17" t="inlineStr">
        <is>
          <t>trading</t>
        </is>
      </c>
      <c r="B3" s="17" t="inlineStr">
        <is>
          <t>Trading hours</t>
        </is>
      </c>
      <c r="C3" s="17" t="inlineStr">
        <is>
          <t>Close every position by 3:50 PM CT.</t>
        </is>
      </c>
      <c r="D3" s="17" t="inlineStr">
        <is>
          <t>confirmed</t>
        </is>
      </c>
      <c r="E3" s="17" t="n"/>
      <c r="F3" s="17" t="n"/>
      <c r="G3" s="17" t="n"/>
      <c r="H3" s="17" t="n"/>
      <c r="I3" s="17" t="inlineStr">
        <is>
          <t>oui</t>
        </is>
      </c>
      <c r="J3" s="17" t="inlineStr">
        <is>
          <t>https://help.earn2trade.com/en/articles/6877364-what-happens-when-i-complete-my-evaluation</t>
        </is>
      </c>
    </row>
    <row r="4">
      <c r="A4" s="17" t="inlineStr">
        <is>
          <t>trading</t>
        </is>
      </c>
      <c r="B4" s="17" t="inlineStr">
        <is>
          <t>Overnight holding</t>
        </is>
      </c>
      <c r="C4" s="17" t="inlineStr">
        <is>
          <t>Not allowed.</t>
        </is>
      </c>
      <c r="D4" s="17" t="inlineStr">
        <is>
          <t>confirmed</t>
        </is>
      </c>
      <c r="E4" s="17" t="n"/>
      <c r="F4" s="17" t="n"/>
      <c r="G4" s="17" t="n"/>
      <c r="H4" s="17" t="n"/>
      <c r="I4" s="17" t="inlineStr">
        <is>
          <t>oui</t>
        </is>
      </c>
      <c r="J4" s="17" t="inlineStr">
        <is>
          <t>https://help.earn2trade.com/en/articles/6877364-what-happens-when-i-complete-my-evaluation</t>
        </is>
      </c>
    </row>
    <row r="5">
      <c r="A5" s="16" t="inlineStr">
        <is>
          <t>trading</t>
        </is>
      </c>
      <c r="B5" s="16" t="inlineStr">
        <is>
          <t>News trading</t>
        </is>
      </c>
      <c r="C5" s="16" t="inlineStr">
        <is>
          <t>Allowed.</t>
        </is>
      </c>
      <c r="D5" s="16" t="inlineStr">
        <is>
          <t>confirmed</t>
        </is>
      </c>
      <c r="E5" s="16" t="n"/>
      <c r="F5" s="16" t="n"/>
      <c r="G5" s="16" t="n"/>
      <c r="H5" s="16" t="n"/>
      <c r="I5" s="16" t="inlineStr">
        <is>
          <t>oui</t>
        </is>
      </c>
      <c r="J5" s="16" t="inlineStr">
        <is>
          <t>https://www.earn2trade.com/non-us/trader-career-path</t>
        </is>
      </c>
    </row>
    <row r="6">
      <c r="A6" s="16" t="inlineStr">
        <is>
          <t>trading</t>
        </is>
      </c>
      <c r="B6" s="16" t="inlineStr">
        <is>
          <t>Platforms</t>
        </is>
      </c>
      <c r="C6" s="16" t="inlineStr">
        <is>
          <t>Free: NinjaTrader, Finamark (with a 90-day live trading licence), R | Trader Pro, Tradovate, TradingView and BlackArrow One. Others, such as Quantower, ATAS, MultiCharts or Sierra Chart, need your own licence.</t>
        </is>
      </c>
      <c r="D6" s="16" t="inlineStr">
        <is>
          <t>confirmed</t>
        </is>
      </c>
      <c r="E6" s="16" t="n"/>
      <c r="F6" s="16" t="n"/>
      <c r="G6" s="16" t="n"/>
      <c r="H6" s="16" t="n"/>
      <c r="I6" s="16" t="n"/>
      <c r="J6" s="16" t="inlineStr">
        <is>
          <t>https://help.earn2trade.com/en/articles/2090521-what-platforms-can-i-use-for-the-gauntlet-mini-trader-career-path</t>
        </is>
      </c>
    </row>
    <row r="7">
      <c r="A7" s="16" t="inlineStr">
        <is>
          <t>trading</t>
        </is>
      </c>
      <c r="B7" s="16" t="inlineStr">
        <is>
          <t>Instruments</t>
        </is>
      </c>
      <c r="C7" s="16" t="inlineStr">
        <is>
          <t>Futures only, listed on CME, COMEX, NYMEX and CBOT.</t>
        </is>
      </c>
      <c r="D7" s="16" t="inlineStr">
        <is>
          <t>confirmed</t>
        </is>
      </c>
      <c r="E7" s="16" t="n"/>
      <c r="F7" s="16" t="n"/>
      <c r="G7" s="16" t="n"/>
      <c r="H7" s="16" t="n"/>
      <c r="I7" s="16" t="n"/>
      <c r="J7" s="16" t="inlineStr">
        <is>
          <t>https://www.earn2trade.com/non-us/trader-career-path</t>
        </is>
      </c>
    </row>
    <row r="8">
      <c r="A8" s="16" t="inlineStr">
        <is>
          <t>trading</t>
        </is>
      </c>
      <c r="B8" s="16" t="inlineStr">
        <is>
          <t>Data fees</t>
        </is>
      </c>
      <c r="C8" s="16" t="inlineStr">
        <is>
          <t>Included for a non-professional CME status. Professional status: $140 per month per exchange, or $156 with NinjaTrader. Market depth (DOM) costs extra.</t>
        </is>
      </c>
      <c r="D8" s="16" t="inlineStr">
        <is>
          <t>confirmed</t>
        </is>
      </c>
      <c r="E8" s="16" t="n"/>
      <c r="F8" s="16" t="n"/>
      <c r="G8" s="16" t="inlineStr">
        <is>
          <t>evaluation</t>
        </is>
      </c>
      <c r="H8" s="16" t="n"/>
      <c r="I8" s="16" t="n"/>
      <c r="J8" s="16" t="inlineStr">
        <is>
          <t>https://help.earn2trade.com/en/articles/2825514-do-i-have-to-pay-for-data-fees-during-the-trader-career-path-gauntlet-mini</t>
        </is>
      </c>
    </row>
    <row r="9">
      <c r="A9" s="16" t="inlineStr">
        <is>
          <t>payouts</t>
        </is>
      </c>
      <c r="B9" s="16" t="inlineStr">
        <is>
          <t>How the split works</t>
        </is>
      </c>
      <c r="C9" s="16" t="inlineStr">
        <is>
          <t>Based on the size of each withdrawal, not on total profit.</t>
        </is>
      </c>
      <c r="D9" s="16" t="inlineStr">
        <is>
          <t>confirmed</t>
        </is>
      </c>
      <c r="E9" s="16" t="n"/>
      <c r="F9" s="16" t="n"/>
      <c r="G9" s="16" t="inlineStr">
        <is>
          <t>funded</t>
        </is>
      </c>
      <c r="H9" s="16" t="n"/>
      <c r="I9" s="16" t="inlineStr">
        <is>
          <t>oui</t>
        </is>
      </c>
      <c r="J9" s="16" t="inlineStr">
        <is>
          <t>https://help.earn2trade.com/en/articles/5452472-what-is-the-withdrawal-policy</t>
        </is>
      </c>
    </row>
    <row r="10">
      <c r="A10" s="16" t="inlineStr">
        <is>
          <t>payouts</t>
        </is>
      </c>
      <c r="B10" s="16" t="inlineStr">
        <is>
          <t>Payout schedule</t>
        </is>
      </c>
      <c r="C10" s="16" t="inlineStr">
        <is>
          <t>Every Wednesday. Request by 2:00 PM CT the Friday before. Minimum $100 net.</t>
        </is>
      </c>
      <c r="D10" s="16" t="inlineStr">
        <is>
          <t>confirmed</t>
        </is>
      </c>
      <c r="E10" s="16" t="n"/>
      <c r="F10" s="16" t="n"/>
      <c r="G10" s="16" t="inlineStr">
        <is>
          <t>funded</t>
        </is>
      </c>
      <c r="H10" s="16" t="n"/>
      <c r="I10" s="16" t="inlineStr">
        <is>
          <t>oui</t>
        </is>
      </c>
      <c r="J10" s="16" t="inlineStr">
        <is>
          <t>https://help.earn2trade.com/en/articles/5452472-what-is-the-withdrawal-policy</t>
        </is>
      </c>
    </row>
    <row r="11">
      <c r="A11" s="16" t="inlineStr">
        <is>
          <t>payouts</t>
        </is>
      </c>
      <c r="B11" s="16" t="inlineStr">
        <is>
          <t>Withdrawal fees</t>
        </is>
      </c>
      <c r="C11" s="16" t="inlineStr">
        <is>
          <t>Rise $50 outside the US (1.5% in the US), Deel $50, Bayzat $5 to $40, direct crypto 0.735%. The firm picks the provider.</t>
        </is>
      </c>
      <c r="D11" s="16" t="inlineStr">
        <is>
          <t>confirmed</t>
        </is>
      </c>
      <c r="E11" s="16" t="n"/>
      <c r="F11" s="16" t="n"/>
      <c r="G11" s="16" t="inlineStr">
        <is>
          <t>funded</t>
        </is>
      </c>
      <c r="H11" s="16" t="n"/>
      <c r="I11" s="16" t="inlineStr">
        <is>
          <t>oui</t>
        </is>
      </c>
      <c r="J11" s="16" t="inlineStr">
        <is>
          <t>https://help.earn2trade.com/en/articles/5452472-what-is-the-withdrawal-policy</t>
        </is>
      </c>
    </row>
    <row r="12">
      <c r="A12" s="16" t="inlineStr">
        <is>
          <t>payouts</t>
        </is>
      </c>
      <c r="B12" s="16" t="inlineStr">
        <is>
          <t>Rise availability</t>
        </is>
      </c>
      <c r="C12" s="16" t="inlineStr">
        <is>
          <t>Rise does not pay traders in Iowa, Minnesota, South Carolina, Guam, Puerto Rico, the U.S. Virgin Islands or Haiti.</t>
        </is>
      </c>
      <c r="D12" s="16" t="inlineStr">
        <is>
          <t>confirmed</t>
        </is>
      </c>
      <c r="E12" s="16" t="n"/>
      <c r="F12" s="16" t="n"/>
      <c r="G12" s="16" t="inlineStr">
        <is>
          <t>funded</t>
        </is>
      </c>
      <c r="H12" s="16" t="n"/>
      <c r="I12" s="16" t="n"/>
      <c r="J12" s="16" t="inlineStr">
        <is>
          <t>https://help.earn2trade.com/en/articles/5452472-what-is-the-withdrawal-policy</t>
        </is>
      </c>
    </row>
    <row r="13">
      <c r="A13" s="16" t="inlineStr">
        <is>
          <t>payouts</t>
        </is>
      </c>
      <c r="B13" s="16" t="inlineStr">
        <is>
          <t>LiveSim maximum withdrawal</t>
        </is>
      </c>
      <c r="C13" s="16" t="inlineStr">
        <is>
          <t>$1,750 on this account size.</t>
        </is>
      </c>
      <c r="D13" s="16" t="inlineStr">
        <is>
          <t>confirmed</t>
        </is>
      </c>
      <c r="E13" s="16" t="inlineStr">
        <is>
          <t>tcp</t>
        </is>
      </c>
      <c r="F13" s="16" t="n">
        <v>25000</v>
      </c>
      <c r="G13" s="16" t="inlineStr">
        <is>
          <t>funded</t>
        </is>
      </c>
      <c r="H13" s="16" t="n"/>
      <c r="I13" s="16" t="inlineStr">
        <is>
          <t>oui</t>
        </is>
      </c>
      <c r="J13" s="16" t="inlineStr">
        <is>
          <t>https://help.earn2trade.com/en/articles/5452472-what-is-the-withdrawal-policy</t>
        </is>
      </c>
    </row>
    <row r="14">
      <c r="A14" s="16" t="inlineStr">
        <is>
          <t>payouts</t>
        </is>
      </c>
      <c r="B14" s="16" t="inlineStr">
        <is>
          <t>LiveSim maximum withdrawal</t>
        </is>
      </c>
      <c r="C14" s="16" t="inlineStr">
        <is>
          <t>$3,000 on this account size.</t>
        </is>
      </c>
      <c r="D14" s="16" t="inlineStr">
        <is>
          <t>confirmed</t>
        </is>
      </c>
      <c r="E14" s="16" t="inlineStr">
        <is>
          <t>tcp</t>
        </is>
      </c>
      <c r="F14" s="16" t="n">
        <v>50000</v>
      </c>
      <c r="G14" s="16" t="inlineStr">
        <is>
          <t>funded</t>
        </is>
      </c>
      <c r="H14" s="16" t="n"/>
      <c r="I14" s="16" t="inlineStr">
        <is>
          <t>oui</t>
        </is>
      </c>
      <c r="J14" s="16" t="inlineStr">
        <is>
          <t>https://help.earn2trade.com/en/articles/5452472-what-is-the-withdrawal-policy</t>
        </is>
      </c>
    </row>
    <row r="15">
      <c r="A15" s="16" t="inlineStr">
        <is>
          <t>payouts</t>
        </is>
      </c>
      <c r="B15" s="16" t="inlineStr">
        <is>
          <t>LiveSim maximum withdrawal</t>
        </is>
      </c>
      <c r="C15" s="16" t="inlineStr">
        <is>
          <t>$6,000 on this account size.</t>
        </is>
      </c>
      <c r="D15" s="16" t="inlineStr">
        <is>
          <t>confirmed</t>
        </is>
      </c>
      <c r="E15" s="16" t="inlineStr">
        <is>
          <t>tcp</t>
        </is>
      </c>
      <c r="F15" s="16" t="n">
        <v>100000</v>
      </c>
      <c r="G15" s="16" t="inlineStr">
        <is>
          <t>funded</t>
        </is>
      </c>
      <c r="H15" s="16" t="n"/>
      <c r="I15" s="16" t="inlineStr">
        <is>
          <t>oui</t>
        </is>
      </c>
      <c r="J15" s="16" t="inlineStr">
        <is>
          <t>https://help.earn2trade.com/en/articles/5452472-what-is-the-withdrawal-policy</t>
        </is>
      </c>
    </row>
    <row r="16">
      <c r="A16" s="16" t="inlineStr">
        <is>
          <t>payouts</t>
        </is>
      </c>
      <c r="B16" s="16" t="inlineStr">
        <is>
          <t>LiveSim maximum withdrawal</t>
        </is>
      </c>
      <c r="C16" s="16" t="inlineStr">
        <is>
          <t>$5,000 on this account size.</t>
        </is>
      </c>
      <c r="D16" s="16" t="inlineStr">
        <is>
          <t>confirmed</t>
        </is>
      </c>
      <c r="E16" s="16" t="inlineStr">
        <is>
          <t>gauntlet-mini</t>
        </is>
      </c>
      <c r="F16" s="16" t="n">
        <v>50000</v>
      </c>
      <c r="G16" s="16" t="inlineStr">
        <is>
          <t>funded</t>
        </is>
      </c>
      <c r="H16" s="16" t="n"/>
      <c r="I16" s="16" t="inlineStr">
        <is>
          <t>oui</t>
        </is>
      </c>
      <c r="J16" s="16" t="inlineStr">
        <is>
          <t>https://help.earn2trade.com/en/articles/5452472-what-is-the-withdrawal-policy</t>
        </is>
      </c>
    </row>
    <row r="17">
      <c r="A17" s="16" t="inlineStr">
        <is>
          <t>payouts</t>
        </is>
      </c>
      <c r="B17" s="16" t="inlineStr">
        <is>
          <t>LiveSim maximum withdrawal</t>
        </is>
      </c>
      <c r="C17" s="16" t="inlineStr">
        <is>
          <t>$5,000 on this account size.</t>
        </is>
      </c>
      <c r="D17" s="16" t="inlineStr">
        <is>
          <t>confirmed</t>
        </is>
      </c>
      <c r="E17" s="16" t="inlineStr">
        <is>
          <t>gauntlet-mini</t>
        </is>
      </c>
      <c r="F17" s="16" t="n">
        <v>100000</v>
      </c>
      <c r="G17" s="16" t="inlineStr">
        <is>
          <t>funded</t>
        </is>
      </c>
      <c r="H17" s="16" t="n"/>
      <c r="I17" s="16" t="inlineStr">
        <is>
          <t>oui</t>
        </is>
      </c>
      <c r="J17" s="16" t="inlineStr">
        <is>
          <t>https://help.earn2trade.com/en/articles/5452472-what-is-the-withdrawal-policy</t>
        </is>
      </c>
    </row>
    <row r="18">
      <c r="A18" s="16" t="inlineStr">
        <is>
          <t>payouts</t>
        </is>
      </c>
      <c r="B18" s="16" t="inlineStr">
        <is>
          <t>LiveSim maximum withdrawal</t>
        </is>
      </c>
      <c r="C18" s="16" t="inlineStr">
        <is>
          <t>$5,000 on this account size.</t>
        </is>
      </c>
      <c r="D18" s="16" t="inlineStr">
        <is>
          <t>confirmed</t>
        </is>
      </c>
      <c r="E18" s="16" t="inlineStr">
        <is>
          <t>gauntlet-mini</t>
        </is>
      </c>
      <c r="F18" s="16" t="n">
        <v>150000</v>
      </c>
      <c r="G18" s="16" t="inlineStr">
        <is>
          <t>funded</t>
        </is>
      </c>
      <c r="H18" s="16" t="n"/>
      <c r="I18" s="16" t="inlineStr">
        <is>
          <t>oui</t>
        </is>
      </c>
      <c r="J18" s="16" t="inlineStr">
        <is>
          <t>https://help.earn2trade.com/en/articles/5452472-what-is-the-withdrawal-policy</t>
        </is>
      </c>
    </row>
    <row r="19">
      <c r="A19" s="16" t="inlineStr">
        <is>
          <t>payouts</t>
        </is>
      </c>
      <c r="B19" s="16" t="inlineStr">
        <is>
          <t>LiveSim maximum withdrawal</t>
        </is>
      </c>
      <c r="C19" s="16" t="inlineStr">
        <is>
          <t>$5,000 on this account size.</t>
        </is>
      </c>
      <c r="D19" s="16" t="inlineStr">
        <is>
          <t>confirmed</t>
        </is>
      </c>
      <c r="E19" s="16" t="inlineStr">
        <is>
          <t>gauntlet-mini</t>
        </is>
      </c>
      <c r="F19" s="16" t="n">
        <v>200000</v>
      </c>
      <c r="G19" s="16" t="inlineStr">
        <is>
          <t>funded</t>
        </is>
      </c>
      <c r="H19" s="16" t="n"/>
      <c r="I19" s="16" t="inlineStr">
        <is>
          <t>oui</t>
        </is>
      </c>
      <c r="J19" s="16" t="inlineStr">
        <is>
          <t>https://help.earn2trade.com/en/articles/5452472-what-is-the-withdrawal-policy</t>
        </is>
      </c>
    </row>
    <row r="20">
      <c r="A20" s="16" t="inlineStr">
        <is>
          <t>live</t>
        </is>
      </c>
      <c r="B20" s="16" t="inlineStr">
        <is>
          <t>Moving up the Trader Career Path</t>
        </is>
      </c>
      <c r="C20" s="16" t="inlineStr">
        <is>
          <t>After you withdraw your profit goal minus 20%, you move to the next Live account: $50K, then $100K, then $200K. The help center says the plan can grow up to $400,000.</t>
        </is>
      </c>
      <c r="D20" s="16" t="inlineStr">
        <is>
          <t>confirmed</t>
        </is>
      </c>
      <c r="E20" s="16" t="inlineStr">
        <is>
          <t>tcp</t>
        </is>
      </c>
      <c r="F20" s="16" t="n"/>
      <c r="G20" s="16" t="inlineStr">
        <is>
          <t>funded</t>
        </is>
      </c>
      <c r="H20" s="16" t="n"/>
      <c r="I20" s="16" t="n"/>
      <c r="J20" s="16" t="inlineStr">
        <is>
          <t>https://help.earn2trade.com/en/articles/16295637-what-is-earn2trade</t>
        </is>
      </c>
    </row>
    <row r="21">
      <c r="A21" s="16" t="inlineStr">
        <is>
          <t>trading</t>
        </is>
      </c>
      <c r="B21" s="16" t="inlineStr">
        <is>
          <t>Data feed</t>
        </is>
      </c>
      <c r="C21" s="16" t="inlineStr">
        <is>
          <t>Chosen at purchase: Rithmic (Finamark, R Trader Pro), BlackArrow, or NinjaTrader (Tradovate, TradingView).</t>
        </is>
      </c>
      <c r="D21" s="16" t="inlineStr">
        <is>
          <t>confirmed</t>
        </is>
      </c>
      <c r="E21" s="16" t="n"/>
      <c r="F21" s="16" t="n"/>
      <c r="G21" s="16" t="inlineStr">
        <is>
          <t>evaluation</t>
        </is>
      </c>
      <c r="H21" s="16" t="n"/>
      <c r="I21" s="16" t="n"/>
      <c r="J21" s="16" t="inlineStr">
        <is>
          <t>https://www.earn2trade.com/non-us/purchase</t>
        </is>
      </c>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A good fit for disciplined traders who would rather grow a small account step by step than buy a large one outright, from a firm that publishes its pass rate, which is still rare. The trade-off is strict rules with little room for error. Look elsewhere if you want a high split from the first dollar.</t>
        </is>
      </c>
    </row>
    <row r="4">
      <c r="A4" s="17" t="inlineStr">
        <is>
          <t>pour_qui</t>
        </is>
      </c>
      <c r="B4" s="24" t="n">
        <v>1</v>
      </c>
      <c r="C4" s="17" t="inlineStr">
        <is>
          <t>Disciplined futures day traders (NQ, ES, CL, GC…) who keep their position size in check.</t>
        </is>
      </c>
    </row>
    <row r="5">
      <c r="A5" s="17" t="inlineStr">
        <is>
          <t>pour_qui</t>
        </is>
      </c>
      <c r="B5" s="24" t="n">
        <v>2</v>
      </c>
      <c r="C5" s="17" t="inlineStr">
        <is>
          <t>Traders who want to climb in steps from $25K to $200K rather than pay for a large account up front.</t>
        </is>
      </c>
    </row>
    <row r="6">
      <c r="A6" s="16" t="inlineStr">
        <is>
          <t>pour_qui</t>
        </is>
      </c>
      <c r="B6" s="23" t="n">
        <v>3</v>
      </c>
      <c r="C6" s="16" t="inlineStr">
        <is>
          <t>Traders who want the training and the evaluation in one place.</t>
        </is>
      </c>
    </row>
    <row r="7">
      <c r="A7" s="16" t="inlineStr">
        <is>
          <t>pour_qui</t>
        </is>
      </c>
      <c r="B7" s="23" t="n">
        <v>4</v>
      </c>
      <c r="C7" s="16" t="inlineStr">
        <is>
          <t>NinjaTrader, Tradovate and TradingView users.</t>
        </is>
      </c>
    </row>
    <row r="8">
      <c r="A8" s="16" t="inlineStr">
        <is>
          <t>limite</t>
        </is>
      </c>
      <c r="B8" s="23" t="n">
        <v>1</v>
      </c>
      <c r="C8" s="16" t="inlineStr">
        <is>
          <t>Going over the contract limit of the progression ladder ends the evaluation immediately. Ten micro contracts count as one.</t>
        </is>
      </c>
    </row>
    <row r="9">
      <c r="A9" s="16" t="inlineStr">
        <is>
          <t>limite</t>
        </is>
      </c>
      <c r="B9" s="23" t="n">
        <v>2</v>
      </c>
      <c r="C9" s="16" t="inlineStr">
        <is>
          <t>Funded split: 50% below a threshold that depends on the account size ($1,500 on TCP25), 80% above it.</t>
        </is>
      </c>
    </row>
    <row r="10">
      <c r="A10" s="16" t="inlineStr">
        <is>
          <t>limite</t>
        </is>
      </c>
      <c r="B10" s="23" t="n">
        <v>3</v>
      </c>
      <c r="C10" s="16" t="inlineStr">
        <is>
          <t>Citizens of 25 countries cannot be funded, including Nigeria, Pakistan, Kenya, Ukraine and Russia.</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7"/>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row r="7"/>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2026-09-22T13:52:43Z</dcterms:modified>
</cp:coreProperties>
</file>