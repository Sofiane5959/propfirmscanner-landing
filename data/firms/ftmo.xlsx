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ftmo</t>
        </is>
      </c>
      <c r="C2" s="17" t="inlineStr">
        <is>
          <t>futureselite</t>
        </is>
      </c>
      <c r="D2" s="18" t="inlineStr">
        <is>
          <t>N'est pas affiche : sert a l'adresse de la page et au lien sortant. Minuscules, sans espace. Obligatoire.</t>
        </is>
      </c>
    </row>
    <row r="3" ht="44" customHeight="1">
      <c r="A3" s="15" t="inlineStr">
        <is>
          <t>nom</t>
        </is>
      </c>
      <c r="B3" s="16" t="inlineStr">
        <is>
          <t>FTMO</t>
        </is>
      </c>
      <c r="C3" s="17" t="inlineStr">
        <is>
          <t>FuturesElite</t>
        </is>
      </c>
      <c r="D3" s="18" t="inlineStr">
        <is>
          <t>Le titre de la carte d'identite, « Continue to [Firm] », le verdict et la FAQ. Obligatoire.</t>
        </is>
      </c>
    </row>
    <row r="4" ht="44" customHeight="1">
      <c r="A4" s="15" t="inlineStr">
        <is>
          <t>logo_url</t>
        </is>
      </c>
      <c r="B4" s="16" t="inlineStr">
        <is>
          <t>https://ftmo.com/app/themes/ftmo-com/public/images/favicon/apple-touch-icon.png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4.8</v>
      </c>
      <c r="C5" s="20" t="n">
        <v>4.5</v>
      </c>
      <c r="D5" s="18" t="inlineStr">
        <is>
          <t>Hero, angle haut droit : note sur 5. Vide : le bloc Trustpilot n'apparait pas.</t>
        </is>
      </c>
    </row>
    <row r="6" ht="44" customHeight="1">
      <c r="A6" s="15" t="inlineStr">
        <is>
          <t>trustpilot_review_count</t>
        </is>
      </c>
      <c r="B6" s="21" t="n">
        <v>52781</v>
      </c>
      <c r="C6" s="22" t="n">
        <v>1200</v>
      </c>
      <c r="D6" s="18" t="inlineStr">
        <is>
          <t>Nombre d'avis sous la note.</t>
        </is>
      </c>
    </row>
    <row r="7" ht="44" customHeight="1">
      <c r="A7" s="15" t="inlineStr">
        <is>
          <t>trustpilot_url</t>
        </is>
      </c>
      <c r="B7" s="16" t="inlineStr">
        <is>
          <t>https://www.trustpilot.com/review/ftmo.com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on CFDs and now futures</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FTMO runs one-step and two-step CFD challenges, a Swing account that keeps trading through the news and the weekend, and, since 2026, a futures line on CME markets. Every account is simulated; the rewards are real.</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FTMO was established in Prague in 2015 and is one of the oldest prop firms still trading. It is not a broker and takes no deposits: every account it opens is a simulated account with fictitious funds, mirroring real market conditions. The rewards paid on the profits made there are real.
The firm says it serves more than 4.5 million traders across 140 countries, has paid over $650 million in rewards, and employs a team of more than 250 people.
Two lines sit side by side. The CFD challenges cover forex, indices, metals, energies, crypto and stocks, in one phase or two, with a Swing account type that keeps trading through the news and the weekend. FTMO Futures, launched in 2026, trades CME contracts on a monthly subscription.</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2015</v>
      </c>
      <c r="C13" s="24" t="n">
        <v>2024</v>
      </c>
      <c r="D13" s="18" t="inlineStr">
        <is>
          <t>« Founded ». Vide : « — ».</t>
        </is>
      </c>
    </row>
    <row r="14" ht="44" customHeight="1">
      <c r="A14" s="15" t="inlineStr">
        <is>
          <t>pays</t>
        </is>
      </c>
      <c r="B14" s="16" t="inlineStr">
        <is>
          <t>Czech Republic</t>
        </is>
      </c>
      <c r="C14" s="17" t="inlineStr">
        <is>
          <t>Italy</t>
        </is>
      </c>
      <c r="D14" s="18" t="inlineStr">
        <is>
          <t>« Country ».</t>
        </is>
      </c>
    </row>
    <row r="15" ht="44" customHeight="1">
      <c r="A15" s="15" t="inlineStr">
        <is>
          <t>ceo_fondateur</t>
        </is>
      </c>
      <c r="B15" s="16" t="inlineStr">
        <is>
          <t>Otakar Šuffner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Stocks,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Card, Apple Pay, Google Pay, PayPal, Skrill, Revolut Pay, Bank transfer,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Bank transfer, Crypto, Skrill, Visa Direct, Mastercard Send, Wise, Revolut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Swing, Day trading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Prague in 2015.</t>
        </is>
      </c>
    </row>
    <row r="4">
      <c r="A4" s="24" t="n">
        <v>2</v>
      </c>
      <c r="B4" s="17" t="inlineStr">
        <is>
          <t>Fee refunded on the 2-Step</t>
        </is>
      </c>
      <c r="C4" s="17" t="inlineStr">
        <is>
          <t>Returned in full with your first reward.</t>
        </is>
      </c>
    </row>
    <row r="5">
      <c r="A5" s="23" t="n">
        <v>3</v>
      </c>
      <c r="B5" s="16" t="inlineStr">
        <is>
          <t>Swing account</t>
        </is>
      </c>
      <c r="C5" s="16" t="inlineStr">
        <is>
          <t>News, overnight and weekend positions stay allowed, funded included.</t>
        </is>
      </c>
    </row>
    <row r="6">
      <c r="A6" s="23" t="n">
        <v>4</v>
      </c>
      <c r="B6" s="16" t="inlineStr">
        <is>
          <t>Scaling to $2,000,000</t>
        </is>
      </c>
      <c r="C6" s="16" t="inlineStr">
        <is>
          <t>+25% capital every four months, under conditions.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4</t>
        </is>
      </c>
      <c r="B3" s="17" t="inlineStr">
        <is>
          <t>oui</t>
        </is>
      </c>
      <c r="C3" s="17" t="inlineStr">
        <is>
          <t>CFD challenges.</t>
        </is>
      </c>
      <c r="D3" t="inlineStr">
        <is>
          <t>https://www.metatrader4.com/favicon.ico</t>
        </is>
      </c>
    </row>
    <row r="4">
      <c r="A4" s="17" t="inlineStr">
        <is>
          <t>MetaTrader 5</t>
        </is>
      </c>
      <c r="B4" s="17" t="inlineStr">
        <is>
          <t>oui</t>
        </is>
      </c>
      <c r="C4" s="17" t="inlineStr">
        <is>
          <t>CFD challenges.</t>
        </is>
      </c>
      <c r="D4" t="inlineStr">
        <is>
          <t>https://www.metatrader5.com/favicon.ico</t>
        </is>
      </c>
    </row>
    <row r="5">
      <c r="A5" s="16" t="inlineStr">
        <is>
          <t>cTrader</t>
        </is>
      </c>
      <c r="B5" s="16" t="inlineStr">
        <is>
          <t>oui</t>
        </is>
      </c>
      <c r="C5" s="16" t="inlineStr">
        <is>
          <t>CFD challenges.</t>
        </is>
      </c>
      <c r="D5" t="inlineStr">
        <is>
          <t>https://ctrader.com/favicon.ico</t>
        </is>
      </c>
    </row>
    <row r="6">
      <c r="A6" s="16" t="inlineStr">
        <is>
          <t>TradingView</t>
        </is>
      </c>
      <c r="B6" s="16" t="inlineStr">
        <is>
          <t>oui</t>
        </is>
      </c>
      <c r="C6" s="16" t="inlineStr">
        <is>
          <t>CFD challenges, and futures with the Tradovate credentials.</t>
        </is>
      </c>
      <c r="D6" t="inlineStr">
        <is>
          <t>https://static.tradingview.com/static/images/favicon/apple-touch-icon-180x180.png</t>
        </is>
      </c>
    </row>
    <row r="7">
      <c r="A7" s="16" t="inlineStr">
        <is>
          <t>NinjaTrader</t>
        </is>
      </c>
      <c r="B7" s="16" t="inlineStr">
        <is>
          <t>oui</t>
        </is>
      </c>
      <c r="C7" s="16" t="inlineStr">
        <is>
          <t>FTMO Futures.</t>
        </is>
      </c>
      <c r="D7" t="inlineStr">
        <is>
          <t>https://ninjatrader.com/assets/dist/images/favicons/apple-touch-icon.png</t>
        </is>
      </c>
    </row>
    <row r="8">
      <c r="A8" s="16" t="inlineStr">
        <is>
          <t>Tradovate</t>
        </is>
      </c>
      <c r="B8" s="16" t="inlineStr">
        <is>
          <t>oui</t>
        </is>
      </c>
      <c r="C8" s="16" t="inlineStr">
        <is>
          <t>FTMO Futures.</t>
        </is>
      </c>
      <c r="D8" t="inlineStr">
        <is>
          <t>https://trader.tradovate.com/img/icons/iphone-retina.png</t>
        </is>
      </c>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1-step</t>
        </is>
      </c>
      <c r="B3" s="17" t="inlineStr">
        <is>
          <t>1-Step Challenge</t>
        </is>
      </c>
      <c r="C3" s="17" t="inlineStr">
        <is>
          <t>cfd</t>
        </is>
      </c>
      <c r="D3" s="17" t="inlineStr">
        <is>
          <t>evaluation</t>
        </is>
      </c>
      <c r="E3" s="17" t="inlineStr">
        <is>
          <t>active</t>
        </is>
      </c>
      <c r="F3" s="17" t="inlineStr">
        <is>
          <t>One phase, 90% from day one</t>
        </is>
      </c>
      <c r="G3" s="17" t="inlineStr">
        <is>
          <t>A single evaluation phase with a 10% target, a trailing end-of-day loss limit and a best-day rule. You keep 90% of the simulated profits as soon as you pass.</t>
        </is>
      </c>
      <c r="H3" s="24" t="n"/>
      <c r="I3" s="17" t="n"/>
      <c r="J3" s="17" t="n"/>
      <c r="K3" s="26">
        <f>IF(A3="","",COUNTIF(Plans!$A$3:$A$300,A3))</f>
        <v/>
      </c>
    </row>
    <row r="4">
      <c r="A4" s="16" t="inlineStr">
        <is>
          <t>2-step</t>
        </is>
      </c>
      <c r="B4" s="16" t="inlineStr">
        <is>
          <t>2-Step Challenge</t>
        </is>
      </c>
      <c r="C4" s="16" t="inlineStr">
        <is>
          <t>cfd</t>
        </is>
      </c>
      <c r="D4" s="16" t="inlineStr">
        <is>
          <t>evaluation</t>
        </is>
      </c>
      <c r="E4" s="16" t="inlineStr">
        <is>
          <t>active</t>
        </is>
      </c>
      <c r="F4" s="16" t="inlineStr">
        <is>
          <t>The historical FTMO route</t>
        </is>
      </c>
      <c r="G4" s="16" t="inlineStr">
        <is>
          <t>Challenge then Verification, with a static loss limit and a 5% daily loss. The fee comes back with your first reward. This is also the only route to the Swing account type.</t>
        </is>
      </c>
      <c r="H4" s="23" t="n"/>
      <c r="I4" s="16" t="n"/>
      <c r="J4" s="16" t="n"/>
      <c r="K4" s="26">
        <f>IF(A4="","",COUNTIF(Plans!$A$3:$A$300,A4))</f>
        <v/>
      </c>
    </row>
    <row r="5">
      <c r="A5" s="16" t="inlineStr">
        <is>
          <t>futures-growth</t>
        </is>
      </c>
      <c r="B5" s="16" t="inlineStr">
        <is>
          <t>Futures Growth</t>
        </is>
      </c>
      <c r="C5" s="16" t="inlineStr">
        <is>
          <t>futures</t>
        </is>
      </c>
      <c r="D5" s="16" t="inlineStr">
        <is>
          <t>evaluation</t>
        </is>
      </c>
      <c r="E5" s="16" t="inlineStr">
        <is>
          <t>active</t>
        </is>
      </c>
      <c r="F5" s="16" t="inlineStr">
        <is>
          <t>No daily loss in the evaluation</t>
        </is>
      </c>
      <c r="G5" s="16" t="inlineStr">
        <is>
          <t>A monthly subscription on CME markets, with no daily loss limit while you evaluate and payouts capped at half of your profit.</t>
        </is>
      </c>
      <c r="H5" s="23" t="n"/>
      <c r="I5" s="16" t="n"/>
      <c r="J5" s="16" t="n"/>
      <c r="K5" s="26">
        <f>IF(A5="","",COUNTIF(Plans!$A$3:$A$300,A5))</f>
        <v/>
      </c>
    </row>
    <row r="6">
      <c r="A6" s="16" t="inlineStr">
        <is>
          <t>futures-pro</t>
        </is>
      </c>
      <c r="B6" s="16" t="inlineStr">
        <is>
          <t>Futures Pro</t>
        </is>
      </c>
      <c r="C6" s="16" t="inlineStr">
        <is>
          <t>futures</t>
        </is>
      </c>
      <c r="D6" s="16" t="inlineStr">
        <is>
          <t>evaluation</t>
        </is>
      </c>
      <c r="E6" s="16" t="inlineStr">
        <is>
          <t>active</t>
        </is>
      </c>
      <c r="F6" s="16" t="inlineStr">
        <is>
          <t>Withdraw all of your profit</t>
        </is>
      </c>
      <c r="G6" s="16" t="inlineStr">
        <is>
          <t>A wider end-of-day drawdown and a strict daily loss, in exchange for withdrawals of up to 100% of the profit and higher caps.</t>
        </is>
      </c>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1-step</t>
        </is>
      </c>
      <c r="B3" s="22" t="n">
        <v>10000</v>
      </c>
      <c r="C3" s="17" t="n"/>
      <c r="D3" s="17" t="inlineStr">
        <is>
          <t>EUR</t>
        </is>
      </c>
      <c r="E3" s="27" t="n">
        <v>79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2-step</t>
        </is>
      </c>
      <c r="B4" s="21" t="n">
        <v>10000</v>
      </c>
      <c r="C4" s="16" t="n"/>
      <c r="D4" s="16" t="inlineStr">
        <is>
          <t>EUR</t>
        </is>
      </c>
      <c r="E4" s="29" t="n">
        <v>89</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1-step</t>
        </is>
      </c>
      <c r="B5" s="21" t="n">
        <v>25000</v>
      </c>
      <c r="C5" s="16" t="n"/>
      <c r="D5" s="16" t="inlineStr">
        <is>
          <t>EUR</t>
        </is>
      </c>
      <c r="E5" s="29" t="n">
        <v>199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2-step</t>
        </is>
      </c>
      <c r="B6" s="21" t="n">
        <v>25000</v>
      </c>
      <c r="C6" s="16" t="n"/>
      <c r="D6" s="16" t="inlineStr">
        <is>
          <t>EUR</t>
        </is>
      </c>
      <c r="E6" s="29" t="n">
        <v>250</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1-step</t>
        </is>
      </c>
      <c r="B7" s="21" t="n">
        <v>50000</v>
      </c>
      <c r="C7" s="16" t="n"/>
      <c r="D7" s="16" t="inlineStr">
        <is>
          <t>EUR</t>
        </is>
      </c>
      <c r="E7" s="29" t="n">
        <v>319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2-step</t>
        </is>
      </c>
      <c r="B8" s="21" t="n">
        <v>50000</v>
      </c>
      <c r="C8" s="16" t="n"/>
      <c r="D8" s="16" t="inlineStr">
        <is>
          <t>EUR</t>
        </is>
      </c>
      <c r="E8" s="29" t="n">
        <v>345</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1-step</t>
        </is>
      </c>
      <c r="B9" s="21" t="n">
        <v>100000</v>
      </c>
      <c r="C9" s="16" t="n"/>
      <c r="D9" s="16" t="inlineStr">
        <is>
          <t>EUR</t>
        </is>
      </c>
      <c r="E9" s="29" t="n">
        <v>499</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2-step</t>
        </is>
      </c>
      <c r="B10" s="21" t="n">
        <v>100000</v>
      </c>
      <c r="C10" s="16" t="n"/>
      <c r="D10" s="16" t="inlineStr">
        <is>
          <t>EUR</t>
        </is>
      </c>
      <c r="E10" s="29" t="n">
        <v>540</v>
      </c>
      <c r="F10" s="16" t="inlineStr">
        <is>
          <t>oui</t>
        </is>
      </c>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1-step</t>
        </is>
      </c>
      <c r="B11" s="21" t="n">
        <v>200000</v>
      </c>
      <c r="C11" s="16" t="n"/>
      <c r="D11" s="16" t="inlineStr">
        <is>
          <t>EUR</t>
        </is>
      </c>
      <c r="E11" s="29" t="n">
        <v>999</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2-step</t>
        </is>
      </c>
      <c r="B12" s="21" t="n">
        <v>200000</v>
      </c>
      <c r="C12" s="16" t="n"/>
      <c r="D12" s="16" t="inlineStr">
        <is>
          <t>EUR</t>
        </is>
      </c>
      <c r="E12" s="29" t="n">
        <v>1080</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futures-growth</t>
        </is>
      </c>
      <c r="B13" s="21" t="n">
        <v>50000</v>
      </c>
      <c r="C13" s="16" t="n"/>
      <c r="D13" s="16" t="inlineStr">
        <is>
          <t>USD</t>
        </is>
      </c>
      <c r="E13" s="29" t="n">
        <v>119</v>
      </c>
      <c r="F13" s="16" t="n"/>
      <c r="G13" s="16" t="inlineStr">
        <is>
          <t>subscription</t>
        </is>
      </c>
      <c r="H13" s="16" t="inlineStr">
        <is>
          <t>monthly</t>
        </is>
      </c>
      <c r="I13" s="29" t="n">
        <v>109</v>
      </c>
      <c r="J13" s="29" t="n">
        <v>0</v>
      </c>
      <c r="K13" s="26">
        <f>IF(A13="","",SUMPRODUCT((Phases!$A$3:$A$900=A13)*(Phases!$B$3:$B$900=B13)*(Phases!$C$3:$C$900=C13)))</f>
        <v/>
      </c>
      <c r="L13" s="28">
        <f>IF(A13="","",IF(COUNTIF(Programmes!$A$3:$A$60,A13)=0,"programme inconnu",IF(K13=0,"aucune phase","ok")))</f>
        <v/>
      </c>
      <c r="N13" t="inlineStr">
        <is>
          <t>USD</t>
        </is>
      </c>
    </row>
    <row r="14">
      <c r="A14" s="16" t="inlineStr">
        <is>
          <t>futures-growth</t>
        </is>
      </c>
      <c r="B14" s="21" t="n">
        <v>100000</v>
      </c>
      <c r="C14" s="16" t="n"/>
      <c r="D14" s="16" t="inlineStr">
        <is>
          <t>USD</t>
        </is>
      </c>
      <c r="E14" s="29" t="n">
        <v>169</v>
      </c>
      <c r="F14" s="16" t="n"/>
      <c r="G14" s="16" t="inlineStr">
        <is>
          <t>subscription</t>
        </is>
      </c>
      <c r="H14" s="16" t="inlineStr">
        <is>
          <t>monthly</t>
        </is>
      </c>
      <c r="I14" s="29" t="n">
        <v>159</v>
      </c>
      <c r="J14" s="29" t="n">
        <v>0</v>
      </c>
      <c r="K14" s="26">
        <f>IF(A14="","",SUMPRODUCT((Phases!$A$3:$A$900=A14)*(Phases!$B$3:$B$900=B14)*(Phases!$C$3:$C$900=C14)))</f>
        <v/>
      </c>
      <c r="L14" s="28">
        <f>IF(A14="","",IF(COUNTIF(Programmes!$A$3:$A$60,A14)=0,"programme inconnu",IF(K14=0,"aucune phase","ok")))</f>
        <v/>
      </c>
      <c r="N14" t="inlineStr">
        <is>
          <t>USD</t>
        </is>
      </c>
    </row>
    <row r="15">
      <c r="A15" s="16" t="inlineStr">
        <is>
          <t>futures-growth</t>
        </is>
      </c>
      <c r="B15" s="21" t="n">
        <v>150000</v>
      </c>
      <c r="C15" s="16" t="n"/>
      <c r="D15" s="16" t="inlineStr">
        <is>
          <t>USD</t>
        </is>
      </c>
      <c r="E15" s="29" t="n">
        <v>229</v>
      </c>
      <c r="F15" s="16" t="n"/>
      <c r="G15" s="16" t="inlineStr">
        <is>
          <t>subscription</t>
        </is>
      </c>
      <c r="H15" s="16" t="inlineStr">
        <is>
          <t>monthly</t>
        </is>
      </c>
      <c r="I15" s="29" t="n">
        <v>219</v>
      </c>
      <c r="J15" s="29" t="n">
        <v>0</v>
      </c>
      <c r="K15" s="26">
        <f>IF(A15="","",SUMPRODUCT((Phases!$A$3:$A$900=A15)*(Phases!$B$3:$B$900=B15)*(Phases!$C$3:$C$900=C15)))</f>
        <v/>
      </c>
      <c r="L15" s="28">
        <f>IF(A15="","",IF(COUNTIF(Programmes!$A$3:$A$60,A15)=0,"programme inconnu",IF(K15=0,"aucune phase","ok")))</f>
        <v/>
      </c>
      <c r="N15" t="inlineStr">
        <is>
          <t>USD</t>
        </is>
      </c>
    </row>
    <row r="16">
      <c r="A16" s="16" t="inlineStr">
        <is>
          <t>futures-pro</t>
        </is>
      </c>
      <c r="B16" s="21" t="n">
        <v>50000</v>
      </c>
      <c r="C16" s="16" t="n"/>
      <c r="D16" s="16" t="inlineStr">
        <is>
          <t>USD</t>
        </is>
      </c>
      <c r="E16" s="29" t="n">
        <v>139</v>
      </c>
      <c r="F16" s="16" t="n"/>
      <c r="G16" s="16" t="inlineStr">
        <is>
          <t>subscription</t>
        </is>
      </c>
      <c r="H16" s="16" t="inlineStr">
        <is>
          <t>monthly</t>
        </is>
      </c>
      <c r="I16" s="29" t="n">
        <v>129</v>
      </c>
      <c r="J16" s="29" t="n">
        <v>0</v>
      </c>
      <c r="K16" s="26">
        <f>IF(A16="","",SUMPRODUCT((Phases!$A$3:$A$900=A16)*(Phases!$B$3:$B$900=B16)*(Phases!$C$3:$C$900=C16)))</f>
        <v/>
      </c>
      <c r="L16" s="28">
        <f>IF(A16="","",IF(COUNTIF(Programmes!$A$3:$A$60,A16)=0,"programme inconnu",IF(K16=0,"aucune phase","ok")))</f>
        <v/>
      </c>
      <c r="N16" t="inlineStr">
        <is>
          <t>USD</t>
        </is>
      </c>
    </row>
    <row r="17">
      <c r="A17" s="16" t="inlineStr">
        <is>
          <t>futures-pro</t>
        </is>
      </c>
      <c r="B17" s="21" t="n">
        <v>100000</v>
      </c>
      <c r="C17" s="16" t="n"/>
      <c r="D17" s="16" t="inlineStr">
        <is>
          <t>USD</t>
        </is>
      </c>
      <c r="E17" s="29" t="n">
        <v>199</v>
      </c>
      <c r="F17" s="16" t="n"/>
      <c r="G17" s="16" t="inlineStr">
        <is>
          <t>subscription</t>
        </is>
      </c>
      <c r="H17" s="16" t="inlineStr">
        <is>
          <t>monthly</t>
        </is>
      </c>
      <c r="I17" s="29" t="n">
        <v>189</v>
      </c>
      <c r="J17" s="29" t="n">
        <v>0</v>
      </c>
      <c r="K17" s="26">
        <f>IF(A17="","",SUMPRODUCT((Phases!$A$3:$A$900=A17)*(Phases!$B$3:$B$900=B17)*(Phases!$C$3:$C$900=C17)))</f>
        <v/>
      </c>
      <c r="L17" s="28">
        <f>IF(A17="","",IF(COUNTIF(Programmes!$A$3:$A$60,A17)=0,"programme inconnu",IF(K17=0,"aucune phase","ok")))</f>
        <v/>
      </c>
      <c r="N17" t="inlineStr">
        <is>
          <t>USD</t>
        </is>
      </c>
    </row>
    <row r="18">
      <c r="A18" s="16" t="inlineStr">
        <is>
          <t>futures-pro</t>
        </is>
      </c>
      <c r="B18" s="21" t="n">
        <v>150000</v>
      </c>
      <c r="C18" s="16" t="n"/>
      <c r="D18" s="16" t="inlineStr">
        <is>
          <t>USD</t>
        </is>
      </c>
      <c r="E18" s="29" t="n">
        <v>269</v>
      </c>
      <c r="F18" s="16" t="n"/>
      <c r="G18" s="16" t="inlineStr">
        <is>
          <t>subscription</t>
        </is>
      </c>
      <c r="H18" s="16" t="inlineStr">
        <is>
          <t>monthly</t>
        </is>
      </c>
      <c r="I18" s="29" t="n">
        <v>259</v>
      </c>
      <c r="J18" s="29" t="n">
        <v>0</v>
      </c>
      <c r="K18" s="26">
        <f>IF(A18="","",SUMPRODUCT((Phases!$A$3:$A$900=A18)*(Phases!$B$3:$B$900=B18)*(Phases!$C$3:$C$900=C18)))</f>
        <v/>
      </c>
      <c r="L18" s="28">
        <f>IF(A18="","",IF(COUNTIF(Programmes!$A$3:$A$60,A18)=0,"programme inconnu",IF(K18=0,"aucune phase","ok")))</f>
        <v/>
      </c>
      <c r="N18" t="inlineStr">
        <is>
          <t>USD</t>
        </is>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1-step</t>
        </is>
      </c>
      <c r="B3" s="22" t="n">
        <v>10000</v>
      </c>
      <c r="C3" s="17" t="n"/>
      <c r="D3" s="17" t="inlineStr">
        <is>
          <t>evaluation</t>
        </is>
      </c>
      <c r="E3" s="22" t="n">
        <v>1000</v>
      </c>
      <c r="F3" s="22" t="n">
        <v>1000</v>
      </c>
      <c r="G3" s="17" t="inlineStr">
        <is>
          <t>End of Day</t>
        </is>
      </c>
      <c r="H3" s="22" t="n">
        <v>300</v>
      </c>
      <c r="I3" s="24" t="n">
        <v>0</v>
      </c>
      <c r="J3" s="30" t="n">
        <v>0.5</v>
      </c>
      <c r="K3" s="24" t="n"/>
      <c r="L3" s="30" t="n"/>
      <c r="M3" s="22" t="n"/>
      <c r="N3" s="22" t="n"/>
      <c r="O3" s="28">
        <f>IF(A3="","",IF(SUMPRODUCT((Plans!$A$3:$A$300=A3)*(Plans!$B$3:$B$300=B3)*(Plans!$C$3:$C$300=C3))=0,"PLAN INCONNU","ok"))</f>
        <v/>
      </c>
    </row>
    <row r="4">
      <c r="A4" s="17" t="inlineStr">
        <is>
          <t>1-step</t>
        </is>
      </c>
      <c r="B4" s="22" t="n">
        <v>10000</v>
      </c>
      <c r="C4" s="17" t="n"/>
      <c r="D4" s="17" t="inlineStr">
        <is>
          <t>funded</t>
        </is>
      </c>
      <c r="E4" s="22" t="n"/>
      <c r="F4" s="22" t="n">
        <v>1000</v>
      </c>
      <c r="G4" s="17" t="inlineStr">
        <is>
          <t>End of Day</t>
        </is>
      </c>
      <c r="H4" s="22" t="n">
        <v>300</v>
      </c>
      <c r="I4" s="24" t="n">
        <v>0</v>
      </c>
      <c r="J4" s="30" t="n">
        <v>0.5</v>
      </c>
      <c r="K4" s="24" t="n"/>
      <c r="L4" s="30" t="n">
        <v>0.9</v>
      </c>
      <c r="M4" s="22" t="n"/>
      <c r="N4" s="22" t="n"/>
      <c r="O4" s="28">
        <f>IF(A4="","",IF(SUMPRODUCT((Plans!$A$3:$A$300=A4)*(Plans!$B$3:$B$300=B4)*(Plans!$C$3:$C$300=C4))=0,"PLAN INCONNU","ok"))</f>
        <v/>
      </c>
    </row>
    <row r="5">
      <c r="A5" s="16" t="inlineStr">
        <is>
          <t>2-step</t>
        </is>
      </c>
      <c r="B5" s="21" t="n">
        <v>10000</v>
      </c>
      <c r="C5" s="16" t="n"/>
      <c r="D5" s="16" t="inlineStr">
        <is>
          <t>evaluation</t>
        </is>
      </c>
      <c r="E5" s="21" t="n">
        <v>1000</v>
      </c>
      <c r="F5" s="21" t="n">
        <v>1000</v>
      </c>
      <c r="G5" s="16" t="inlineStr">
        <is>
          <t>Static</t>
        </is>
      </c>
      <c r="H5" s="21" t="n">
        <v>500</v>
      </c>
      <c r="I5" s="23" t="n">
        <v>4</v>
      </c>
      <c r="J5" s="31" t="inlineStr">
        <is>
          <t>aucune</t>
        </is>
      </c>
      <c r="K5" s="23" t="n"/>
      <c r="L5" s="31" t="n"/>
      <c r="M5" s="21" t="n"/>
      <c r="N5" s="21" t="n"/>
      <c r="O5" s="28">
        <f>IF(A5="","",IF(SUMPRODUCT((Plans!$A$3:$A$300=A5)*(Plans!$B$3:$B$300=B5)*(Plans!$C$3:$C$300=C5))=0,"PLAN INCONNU","ok"))</f>
        <v/>
      </c>
    </row>
    <row r="6">
      <c r="A6" s="16" t="inlineStr">
        <is>
          <t>2-step</t>
        </is>
      </c>
      <c r="B6" s="21" t="n">
        <v>10000</v>
      </c>
      <c r="C6" s="16" t="n"/>
      <c r="D6" s="16" t="inlineStr">
        <is>
          <t>evaluation_2</t>
        </is>
      </c>
      <c r="E6" s="21" t="n">
        <v>500</v>
      </c>
      <c r="F6" s="21" t="n">
        <v>1000</v>
      </c>
      <c r="G6" s="16" t="inlineStr">
        <is>
          <t>Static</t>
        </is>
      </c>
      <c r="H6" s="21" t="n">
        <v>500</v>
      </c>
      <c r="I6" s="23" t="n">
        <v>4</v>
      </c>
      <c r="J6" s="31" t="inlineStr">
        <is>
          <t>aucune</t>
        </is>
      </c>
      <c r="K6" s="23" t="n"/>
      <c r="L6" s="31" t="n"/>
      <c r="M6" s="21" t="n"/>
      <c r="N6" s="21" t="n"/>
      <c r="O6" s="28">
        <f>IF(A6="","",IF(SUMPRODUCT((Plans!$A$3:$A$300=A6)*(Plans!$B$3:$B$300=B6)*(Plans!$C$3:$C$300=C6))=0,"PLAN INCONNU","ok"))</f>
        <v/>
      </c>
    </row>
    <row r="7">
      <c r="A7" s="16" t="inlineStr">
        <is>
          <t>2-step</t>
        </is>
      </c>
      <c r="B7" s="21" t="n">
        <v>10000</v>
      </c>
      <c r="C7" s="16" t="n"/>
      <c r="D7" s="16" t="inlineStr">
        <is>
          <t>funded</t>
        </is>
      </c>
      <c r="E7" s="21" t="n"/>
      <c r="F7" s="21" t="n">
        <v>1000</v>
      </c>
      <c r="G7" s="16" t="inlineStr">
        <is>
          <t>Static</t>
        </is>
      </c>
      <c r="H7" s="21" t="n">
        <v>500</v>
      </c>
      <c r="I7" s="23" t="n">
        <v>0</v>
      </c>
      <c r="J7" s="31" t="inlineStr">
        <is>
          <t>aucune</t>
        </is>
      </c>
      <c r="K7" s="23" t="n"/>
      <c r="L7" s="31" t="n">
        <v>0.8</v>
      </c>
      <c r="M7" s="21" t="n"/>
      <c r="N7" s="21" t="n"/>
      <c r="O7" s="28">
        <f>IF(A7="","",IF(SUMPRODUCT((Plans!$A$3:$A$300=A7)*(Plans!$B$3:$B$300=B7)*(Plans!$C$3:$C$300=C7))=0,"PLAN INCONNU","ok"))</f>
        <v/>
      </c>
    </row>
    <row r="8">
      <c r="A8" s="16" t="inlineStr">
        <is>
          <t>1-step</t>
        </is>
      </c>
      <c r="B8" s="21" t="n">
        <v>25000</v>
      </c>
      <c r="C8" s="16" t="n"/>
      <c r="D8" s="16" t="inlineStr">
        <is>
          <t>evaluation</t>
        </is>
      </c>
      <c r="E8" s="21" t="n">
        <v>2500</v>
      </c>
      <c r="F8" s="21" t="n">
        <v>2500</v>
      </c>
      <c r="G8" s="16" t="inlineStr">
        <is>
          <t>End of Day</t>
        </is>
      </c>
      <c r="H8" s="21" t="n">
        <v>750</v>
      </c>
      <c r="I8" s="23" t="n">
        <v>0</v>
      </c>
      <c r="J8" s="31" t="n">
        <v>0.5</v>
      </c>
      <c r="K8" s="23" t="n"/>
      <c r="L8" s="31" t="n"/>
      <c r="M8" s="21" t="n"/>
      <c r="N8" s="21" t="n"/>
      <c r="O8" s="28">
        <f>IF(A8="","",IF(SUMPRODUCT((Plans!$A$3:$A$300=A8)*(Plans!$B$3:$B$300=B8)*(Plans!$C$3:$C$300=C8))=0,"PLAN INCONNU","ok"))</f>
        <v/>
      </c>
    </row>
    <row r="9">
      <c r="A9" s="16" t="inlineStr">
        <is>
          <t>1-step</t>
        </is>
      </c>
      <c r="B9" s="21" t="n">
        <v>25000</v>
      </c>
      <c r="C9" s="16" t="n"/>
      <c r="D9" s="16" t="inlineStr">
        <is>
          <t>funded</t>
        </is>
      </c>
      <c r="E9" s="21" t="n"/>
      <c r="F9" s="21" t="n">
        <v>2500</v>
      </c>
      <c r="G9" s="16" t="inlineStr">
        <is>
          <t>End of Day</t>
        </is>
      </c>
      <c r="H9" s="21" t="n">
        <v>750</v>
      </c>
      <c r="I9" s="23" t="n">
        <v>0</v>
      </c>
      <c r="J9" s="31" t="n">
        <v>0.5</v>
      </c>
      <c r="K9" s="23" t="n"/>
      <c r="L9" s="31" t="n">
        <v>0.9</v>
      </c>
      <c r="M9" s="21" t="n"/>
      <c r="N9" s="21" t="n"/>
      <c r="O9" s="28">
        <f>IF(A9="","",IF(SUMPRODUCT((Plans!$A$3:$A$300=A9)*(Plans!$B$3:$B$300=B9)*(Plans!$C$3:$C$300=C9))=0,"PLAN INCONNU","ok"))</f>
        <v/>
      </c>
    </row>
    <row r="10">
      <c r="A10" s="16" t="inlineStr">
        <is>
          <t>2-step</t>
        </is>
      </c>
      <c r="B10" s="21" t="n">
        <v>25000</v>
      </c>
      <c r="C10" s="16" t="n"/>
      <c r="D10" s="16" t="inlineStr">
        <is>
          <t>evaluation</t>
        </is>
      </c>
      <c r="E10" s="21" t="n">
        <v>2500</v>
      </c>
      <c r="F10" s="21" t="n">
        <v>2500</v>
      </c>
      <c r="G10" s="16" t="inlineStr">
        <is>
          <t>Static</t>
        </is>
      </c>
      <c r="H10" s="21" t="n">
        <v>1250</v>
      </c>
      <c r="I10" s="23" t="n">
        <v>4</v>
      </c>
      <c r="J10" s="31" t="inlineStr">
        <is>
          <t>aucune</t>
        </is>
      </c>
      <c r="K10" s="23" t="n"/>
      <c r="L10" s="31" t="n"/>
      <c r="M10" s="21" t="n"/>
      <c r="N10" s="21" t="n"/>
      <c r="O10" s="28">
        <f>IF(A10="","",IF(SUMPRODUCT((Plans!$A$3:$A$300=A10)*(Plans!$B$3:$B$300=B10)*(Plans!$C$3:$C$300=C10))=0,"PLAN INCONNU","ok"))</f>
        <v/>
      </c>
    </row>
    <row r="11">
      <c r="A11" s="16" t="inlineStr">
        <is>
          <t>2-step</t>
        </is>
      </c>
      <c r="B11" s="21" t="n">
        <v>25000</v>
      </c>
      <c r="C11" s="16" t="n"/>
      <c r="D11" s="16" t="inlineStr">
        <is>
          <t>evaluation_2</t>
        </is>
      </c>
      <c r="E11" s="21" t="n">
        <v>1250</v>
      </c>
      <c r="F11" s="21" t="n">
        <v>2500</v>
      </c>
      <c r="G11" s="16" t="inlineStr">
        <is>
          <t>Static</t>
        </is>
      </c>
      <c r="H11" s="21" t="n">
        <v>1250</v>
      </c>
      <c r="I11" s="23" t="n">
        <v>4</v>
      </c>
      <c r="J11" s="31" t="inlineStr">
        <is>
          <t>aucune</t>
        </is>
      </c>
      <c r="K11" s="23" t="n"/>
      <c r="L11" s="31" t="n"/>
      <c r="M11" s="21" t="n"/>
      <c r="N11" s="21" t="n"/>
      <c r="O11" s="28">
        <f>IF(A11="","",IF(SUMPRODUCT((Plans!$A$3:$A$300=A11)*(Plans!$B$3:$B$300=B11)*(Plans!$C$3:$C$300=C11))=0,"PLAN INCONNU","ok"))</f>
        <v/>
      </c>
    </row>
    <row r="12">
      <c r="A12" s="16" t="inlineStr">
        <is>
          <t>2-step</t>
        </is>
      </c>
      <c r="B12" s="21" t="n">
        <v>25000</v>
      </c>
      <c r="C12" s="16" t="n"/>
      <c r="D12" s="16" t="inlineStr">
        <is>
          <t>funded</t>
        </is>
      </c>
      <c r="E12" s="21" t="n"/>
      <c r="F12" s="21" t="n">
        <v>2500</v>
      </c>
      <c r="G12" s="16" t="inlineStr">
        <is>
          <t>Static</t>
        </is>
      </c>
      <c r="H12" s="21" t="n">
        <v>1250</v>
      </c>
      <c r="I12" s="23" t="n">
        <v>0</v>
      </c>
      <c r="J12" s="31" t="inlineStr">
        <is>
          <t>aucune</t>
        </is>
      </c>
      <c r="K12" s="23" t="n"/>
      <c r="L12" s="31" t="n">
        <v>0.8</v>
      </c>
      <c r="M12" s="21" t="n"/>
      <c r="N12" s="21" t="n"/>
      <c r="O12" s="28">
        <f>IF(A12="","",IF(SUMPRODUCT((Plans!$A$3:$A$300=A12)*(Plans!$B$3:$B$300=B12)*(Plans!$C$3:$C$300=C12))=0,"PLAN INCONNU","ok"))</f>
        <v/>
      </c>
    </row>
    <row r="13">
      <c r="A13" s="16" t="inlineStr">
        <is>
          <t>1-step</t>
        </is>
      </c>
      <c r="B13" s="21" t="n">
        <v>50000</v>
      </c>
      <c r="C13" s="16" t="n"/>
      <c r="D13" s="16" t="inlineStr">
        <is>
          <t>evaluation</t>
        </is>
      </c>
      <c r="E13" s="21" t="n">
        <v>5000</v>
      </c>
      <c r="F13" s="21" t="n">
        <v>5000</v>
      </c>
      <c r="G13" s="16" t="inlineStr">
        <is>
          <t>End of Day</t>
        </is>
      </c>
      <c r="H13" s="21" t="n">
        <v>1500</v>
      </c>
      <c r="I13" s="23" t="n">
        <v>0</v>
      </c>
      <c r="J13" s="31" t="n">
        <v>0.5</v>
      </c>
      <c r="K13" s="23" t="n"/>
      <c r="L13" s="31" t="n"/>
      <c r="M13" s="21" t="n"/>
      <c r="N13" s="21" t="n"/>
      <c r="O13" s="28">
        <f>IF(A13="","",IF(SUMPRODUCT((Plans!$A$3:$A$300=A13)*(Plans!$B$3:$B$300=B13)*(Plans!$C$3:$C$300=C13))=0,"PLAN INCONNU","ok"))</f>
        <v/>
      </c>
    </row>
    <row r="14">
      <c r="A14" s="16" t="inlineStr">
        <is>
          <t>1-step</t>
        </is>
      </c>
      <c r="B14" s="21" t="n">
        <v>50000</v>
      </c>
      <c r="C14" s="16" t="n"/>
      <c r="D14" s="16" t="inlineStr">
        <is>
          <t>funded</t>
        </is>
      </c>
      <c r="E14" s="21" t="n"/>
      <c r="F14" s="21" t="n">
        <v>5000</v>
      </c>
      <c r="G14" s="16" t="inlineStr">
        <is>
          <t>End of Day</t>
        </is>
      </c>
      <c r="H14" s="21" t="n">
        <v>1500</v>
      </c>
      <c r="I14" s="23" t="n">
        <v>0</v>
      </c>
      <c r="J14" s="31" t="n">
        <v>0.5</v>
      </c>
      <c r="K14" s="23" t="n"/>
      <c r="L14" s="31" t="n">
        <v>0.9</v>
      </c>
      <c r="M14" s="21" t="n"/>
      <c r="N14" s="21" t="n"/>
      <c r="O14" s="28">
        <f>IF(A14="","",IF(SUMPRODUCT((Plans!$A$3:$A$300=A14)*(Plans!$B$3:$B$300=B14)*(Plans!$C$3:$C$300=C14))=0,"PLAN INCONNU","ok"))</f>
        <v/>
      </c>
    </row>
    <row r="15">
      <c r="A15" s="16" t="inlineStr">
        <is>
          <t>2-step</t>
        </is>
      </c>
      <c r="B15" s="21" t="n">
        <v>50000</v>
      </c>
      <c r="C15" s="16" t="n"/>
      <c r="D15" s="16" t="inlineStr">
        <is>
          <t>evaluation</t>
        </is>
      </c>
      <c r="E15" s="21" t="n">
        <v>5000</v>
      </c>
      <c r="F15" s="21" t="n">
        <v>5000</v>
      </c>
      <c r="G15" s="16" t="inlineStr">
        <is>
          <t>Static</t>
        </is>
      </c>
      <c r="H15" s="21" t="n">
        <v>2500</v>
      </c>
      <c r="I15" s="23" t="n">
        <v>4</v>
      </c>
      <c r="J15" s="31" t="inlineStr">
        <is>
          <t>aucune</t>
        </is>
      </c>
      <c r="K15" s="23" t="n"/>
      <c r="L15" s="31" t="n"/>
      <c r="M15" s="21" t="n"/>
      <c r="N15" s="21" t="n"/>
      <c r="O15" s="28">
        <f>IF(A15="","",IF(SUMPRODUCT((Plans!$A$3:$A$300=A15)*(Plans!$B$3:$B$300=B15)*(Plans!$C$3:$C$300=C15))=0,"PLAN INCONNU","ok"))</f>
        <v/>
      </c>
    </row>
    <row r="16">
      <c r="A16" s="16" t="inlineStr">
        <is>
          <t>2-step</t>
        </is>
      </c>
      <c r="B16" s="21" t="n">
        <v>50000</v>
      </c>
      <c r="C16" s="16" t="n"/>
      <c r="D16" s="16" t="inlineStr">
        <is>
          <t>evaluation_2</t>
        </is>
      </c>
      <c r="E16" s="21" t="n">
        <v>2500</v>
      </c>
      <c r="F16" s="21" t="n">
        <v>5000</v>
      </c>
      <c r="G16" s="16" t="inlineStr">
        <is>
          <t>Static</t>
        </is>
      </c>
      <c r="H16" s="21" t="n">
        <v>2500</v>
      </c>
      <c r="I16" s="23" t="n">
        <v>4</v>
      </c>
      <c r="J16" s="31" t="inlineStr">
        <is>
          <t>aucune</t>
        </is>
      </c>
      <c r="K16" s="23" t="n"/>
      <c r="L16" s="31" t="n"/>
      <c r="M16" s="21" t="n"/>
      <c r="N16" s="21" t="n"/>
      <c r="O16" s="28">
        <f>IF(A16="","",IF(SUMPRODUCT((Plans!$A$3:$A$300=A16)*(Plans!$B$3:$B$300=B16)*(Plans!$C$3:$C$300=C16))=0,"PLAN INCONNU","ok"))</f>
        <v/>
      </c>
    </row>
    <row r="17">
      <c r="A17" s="16" t="inlineStr">
        <is>
          <t>2-step</t>
        </is>
      </c>
      <c r="B17" s="21" t="n">
        <v>50000</v>
      </c>
      <c r="C17" s="16" t="n"/>
      <c r="D17" s="16" t="inlineStr">
        <is>
          <t>funded</t>
        </is>
      </c>
      <c r="E17" s="21" t="n"/>
      <c r="F17" s="21" t="n">
        <v>5000</v>
      </c>
      <c r="G17" s="16" t="inlineStr">
        <is>
          <t>Static</t>
        </is>
      </c>
      <c r="H17" s="21" t="n">
        <v>2500</v>
      </c>
      <c r="I17" s="23" t="n">
        <v>0</v>
      </c>
      <c r="J17" s="31" t="inlineStr">
        <is>
          <t>aucune</t>
        </is>
      </c>
      <c r="K17" s="23" t="n"/>
      <c r="L17" s="31" t="n">
        <v>0.8</v>
      </c>
      <c r="M17" s="21" t="n"/>
      <c r="N17" s="21" t="n"/>
      <c r="O17" s="28">
        <f>IF(A17="","",IF(SUMPRODUCT((Plans!$A$3:$A$300=A17)*(Plans!$B$3:$B$300=B17)*(Plans!$C$3:$C$300=C17))=0,"PLAN INCONNU","ok"))</f>
        <v/>
      </c>
    </row>
    <row r="18">
      <c r="A18" s="16" t="inlineStr">
        <is>
          <t>1-step</t>
        </is>
      </c>
      <c r="B18" s="21" t="n">
        <v>100000</v>
      </c>
      <c r="C18" s="16" t="n"/>
      <c r="D18" s="16" t="inlineStr">
        <is>
          <t>evaluation</t>
        </is>
      </c>
      <c r="E18" s="21" t="n">
        <v>10000</v>
      </c>
      <c r="F18" s="21" t="n">
        <v>10000</v>
      </c>
      <c r="G18" s="16" t="inlineStr">
        <is>
          <t>End of Day</t>
        </is>
      </c>
      <c r="H18" s="21" t="n">
        <v>3000</v>
      </c>
      <c r="I18" s="23" t="n">
        <v>0</v>
      </c>
      <c r="J18" s="31" t="n">
        <v>0.5</v>
      </c>
      <c r="K18" s="23" t="n"/>
      <c r="L18" s="31" t="n"/>
      <c r="M18" s="21" t="n"/>
      <c r="N18" s="21" t="n"/>
      <c r="O18" s="28">
        <f>IF(A18="","",IF(SUMPRODUCT((Plans!$A$3:$A$300=A18)*(Plans!$B$3:$B$300=B18)*(Plans!$C$3:$C$300=C18))=0,"PLAN INCONNU","ok"))</f>
        <v/>
      </c>
    </row>
    <row r="19">
      <c r="A19" s="16" t="inlineStr">
        <is>
          <t>1-step</t>
        </is>
      </c>
      <c r="B19" s="21" t="n">
        <v>100000</v>
      </c>
      <c r="C19" s="16" t="n"/>
      <c r="D19" s="16" t="inlineStr">
        <is>
          <t>funded</t>
        </is>
      </c>
      <c r="E19" s="21" t="n"/>
      <c r="F19" s="21" t="n">
        <v>10000</v>
      </c>
      <c r="G19" s="16" t="inlineStr">
        <is>
          <t>End of Day</t>
        </is>
      </c>
      <c r="H19" s="21" t="n">
        <v>3000</v>
      </c>
      <c r="I19" s="23" t="n">
        <v>0</v>
      </c>
      <c r="J19" s="31" t="n">
        <v>0.5</v>
      </c>
      <c r="K19" s="23" t="n"/>
      <c r="L19" s="31" t="n">
        <v>0.9</v>
      </c>
      <c r="M19" s="21" t="n"/>
      <c r="N19" s="21" t="n"/>
      <c r="O19" s="28">
        <f>IF(A19="","",IF(SUMPRODUCT((Plans!$A$3:$A$300=A19)*(Plans!$B$3:$B$300=B19)*(Plans!$C$3:$C$300=C19))=0,"PLAN INCONNU","ok"))</f>
        <v/>
      </c>
    </row>
    <row r="20">
      <c r="A20" s="16" t="inlineStr">
        <is>
          <t>2-step</t>
        </is>
      </c>
      <c r="B20" s="21" t="n">
        <v>100000</v>
      </c>
      <c r="C20" s="16" t="n"/>
      <c r="D20" s="16" t="inlineStr">
        <is>
          <t>evaluation</t>
        </is>
      </c>
      <c r="E20" s="21" t="n">
        <v>10000</v>
      </c>
      <c r="F20" s="21" t="n">
        <v>10000</v>
      </c>
      <c r="G20" s="16" t="inlineStr">
        <is>
          <t>Static</t>
        </is>
      </c>
      <c r="H20" s="21" t="n">
        <v>5000</v>
      </c>
      <c r="I20" s="23" t="n">
        <v>4</v>
      </c>
      <c r="J20" s="31" t="inlineStr">
        <is>
          <t>aucune</t>
        </is>
      </c>
      <c r="K20" s="23" t="n"/>
      <c r="L20" s="31" t="n"/>
      <c r="M20" s="21" t="n"/>
      <c r="N20" s="21" t="n"/>
      <c r="O20" s="28">
        <f>IF(A20="","",IF(SUMPRODUCT((Plans!$A$3:$A$300=A20)*(Plans!$B$3:$B$300=B20)*(Plans!$C$3:$C$300=C20))=0,"PLAN INCONNU","ok"))</f>
        <v/>
      </c>
    </row>
    <row r="21">
      <c r="A21" s="16" t="inlineStr">
        <is>
          <t>2-step</t>
        </is>
      </c>
      <c r="B21" s="21" t="n">
        <v>100000</v>
      </c>
      <c r="C21" s="16" t="n"/>
      <c r="D21" s="16" t="inlineStr">
        <is>
          <t>evaluation_2</t>
        </is>
      </c>
      <c r="E21" s="21" t="n">
        <v>5000</v>
      </c>
      <c r="F21" s="21" t="n">
        <v>10000</v>
      </c>
      <c r="G21" s="16" t="inlineStr">
        <is>
          <t>Static</t>
        </is>
      </c>
      <c r="H21" s="21" t="n">
        <v>5000</v>
      </c>
      <c r="I21" s="23" t="n">
        <v>4</v>
      </c>
      <c r="J21" s="31" t="inlineStr">
        <is>
          <t>aucune</t>
        </is>
      </c>
      <c r="K21" s="23" t="n"/>
      <c r="L21" s="31" t="n"/>
      <c r="M21" s="21" t="n"/>
      <c r="N21" s="21" t="n"/>
      <c r="O21" s="28">
        <f>IF(A21="","",IF(SUMPRODUCT((Plans!$A$3:$A$300=A21)*(Plans!$B$3:$B$300=B21)*(Plans!$C$3:$C$300=C21))=0,"PLAN INCONNU","ok"))</f>
        <v/>
      </c>
    </row>
    <row r="22">
      <c r="A22" s="16" t="inlineStr">
        <is>
          <t>2-step</t>
        </is>
      </c>
      <c r="B22" s="21" t="n">
        <v>100000</v>
      </c>
      <c r="C22" s="16" t="n"/>
      <c r="D22" s="16" t="inlineStr">
        <is>
          <t>funded</t>
        </is>
      </c>
      <c r="E22" s="21" t="n"/>
      <c r="F22" s="21" t="n">
        <v>10000</v>
      </c>
      <c r="G22" s="16" t="inlineStr">
        <is>
          <t>Static</t>
        </is>
      </c>
      <c r="H22" s="21" t="n">
        <v>5000</v>
      </c>
      <c r="I22" s="23" t="n">
        <v>0</v>
      </c>
      <c r="J22" s="31" t="inlineStr">
        <is>
          <t>aucune</t>
        </is>
      </c>
      <c r="K22" s="23" t="n"/>
      <c r="L22" s="31" t="n">
        <v>0.8</v>
      </c>
      <c r="M22" s="21" t="n"/>
      <c r="N22" s="21" t="n"/>
      <c r="O22" s="28">
        <f>IF(A22="","",IF(SUMPRODUCT((Plans!$A$3:$A$300=A22)*(Plans!$B$3:$B$300=B22)*(Plans!$C$3:$C$300=C22))=0,"PLAN INCONNU","ok"))</f>
        <v/>
      </c>
    </row>
    <row r="23">
      <c r="A23" s="16" t="inlineStr">
        <is>
          <t>1-step</t>
        </is>
      </c>
      <c r="B23" s="21" t="n">
        <v>200000</v>
      </c>
      <c r="C23" s="16" t="n"/>
      <c r="D23" s="16" t="inlineStr">
        <is>
          <t>evaluation</t>
        </is>
      </c>
      <c r="E23" s="21" t="n">
        <v>20000</v>
      </c>
      <c r="F23" s="21" t="n">
        <v>20000</v>
      </c>
      <c r="G23" s="16" t="inlineStr">
        <is>
          <t>End of Day</t>
        </is>
      </c>
      <c r="H23" s="21" t="n">
        <v>6000</v>
      </c>
      <c r="I23" s="23" t="n">
        <v>0</v>
      </c>
      <c r="J23" s="31" t="n">
        <v>0.5</v>
      </c>
      <c r="K23" s="23" t="n"/>
      <c r="L23" s="31" t="n"/>
      <c r="M23" s="21" t="n"/>
      <c r="N23" s="21" t="n"/>
      <c r="O23" s="28">
        <f>IF(A23="","",IF(SUMPRODUCT((Plans!$A$3:$A$300=A23)*(Plans!$B$3:$B$300=B23)*(Plans!$C$3:$C$300=C23))=0,"PLAN INCONNU","ok"))</f>
        <v/>
      </c>
    </row>
    <row r="24">
      <c r="A24" s="16" t="inlineStr">
        <is>
          <t>1-step</t>
        </is>
      </c>
      <c r="B24" s="21" t="n">
        <v>200000</v>
      </c>
      <c r="C24" s="16" t="n"/>
      <c r="D24" s="16" t="inlineStr">
        <is>
          <t>funded</t>
        </is>
      </c>
      <c r="E24" s="21" t="n"/>
      <c r="F24" s="21" t="n">
        <v>20000</v>
      </c>
      <c r="G24" s="16" t="inlineStr">
        <is>
          <t>End of Day</t>
        </is>
      </c>
      <c r="H24" s="21" t="n">
        <v>6000</v>
      </c>
      <c r="I24" s="23" t="n">
        <v>0</v>
      </c>
      <c r="J24" s="31" t="n">
        <v>0.5</v>
      </c>
      <c r="K24" s="23" t="n"/>
      <c r="L24" s="31" t="n">
        <v>0.9</v>
      </c>
      <c r="M24" s="21" t="n"/>
      <c r="N24" s="21" t="n"/>
      <c r="O24" s="28">
        <f>IF(A24="","",IF(SUMPRODUCT((Plans!$A$3:$A$300=A24)*(Plans!$B$3:$B$300=B24)*(Plans!$C$3:$C$300=C24))=0,"PLAN INCONNU","ok"))</f>
        <v/>
      </c>
    </row>
    <row r="25">
      <c r="A25" s="16" t="inlineStr">
        <is>
          <t>2-step</t>
        </is>
      </c>
      <c r="B25" s="21" t="n">
        <v>200000</v>
      </c>
      <c r="C25" s="16" t="n"/>
      <c r="D25" s="16" t="inlineStr">
        <is>
          <t>evaluation</t>
        </is>
      </c>
      <c r="E25" s="21" t="n">
        <v>20000</v>
      </c>
      <c r="F25" s="21" t="n">
        <v>20000</v>
      </c>
      <c r="G25" s="16" t="inlineStr">
        <is>
          <t>Static</t>
        </is>
      </c>
      <c r="H25" s="21" t="n">
        <v>10000</v>
      </c>
      <c r="I25" s="23" t="n">
        <v>4</v>
      </c>
      <c r="J25" s="31" t="inlineStr">
        <is>
          <t>aucune</t>
        </is>
      </c>
      <c r="K25" s="23" t="n"/>
      <c r="L25" s="31" t="n"/>
      <c r="M25" s="21" t="n"/>
      <c r="N25" s="21" t="n"/>
      <c r="O25" s="28">
        <f>IF(A25="","",IF(SUMPRODUCT((Plans!$A$3:$A$300=A25)*(Plans!$B$3:$B$300=B25)*(Plans!$C$3:$C$300=C25))=0,"PLAN INCONNU","ok"))</f>
        <v/>
      </c>
    </row>
    <row r="26">
      <c r="A26" s="16" t="inlineStr">
        <is>
          <t>2-step</t>
        </is>
      </c>
      <c r="B26" s="21" t="n">
        <v>200000</v>
      </c>
      <c r="C26" s="16" t="n"/>
      <c r="D26" s="16" t="inlineStr">
        <is>
          <t>evaluation_2</t>
        </is>
      </c>
      <c r="E26" s="21" t="n">
        <v>10000</v>
      </c>
      <c r="F26" s="21" t="n">
        <v>20000</v>
      </c>
      <c r="G26" s="16" t="inlineStr">
        <is>
          <t>Static</t>
        </is>
      </c>
      <c r="H26" s="21" t="n">
        <v>10000</v>
      </c>
      <c r="I26" s="23" t="n">
        <v>4</v>
      </c>
      <c r="J26" s="31" t="inlineStr">
        <is>
          <t>aucune</t>
        </is>
      </c>
      <c r="K26" s="23" t="n"/>
      <c r="L26" s="31" t="n"/>
      <c r="M26" s="21" t="n"/>
      <c r="N26" s="21" t="n"/>
      <c r="O26" s="28">
        <f>IF(A26="","",IF(SUMPRODUCT((Plans!$A$3:$A$300=A26)*(Plans!$B$3:$B$300=B26)*(Plans!$C$3:$C$300=C26))=0,"PLAN INCONNU","ok"))</f>
        <v/>
      </c>
    </row>
    <row r="27">
      <c r="A27" s="16" t="inlineStr">
        <is>
          <t>2-step</t>
        </is>
      </c>
      <c r="B27" s="21" t="n">
        <v>200000</v>
      </c>
      <c r="C27" s="16" t="n"/>
      <c r="D27" s="16" t="inlineStr">
        <is>
          <t>funded</t>
        </is>
      </c>
      <c r="E27" s="21" t="n"/>
      <c r="F27" s="21" t="n">
        <v>20000</v>
      </c>
      <c r="G27" s="16" t="inlineStr">
        <is>
          <t>Static</t>
        </is>
      </c>
      <c r="H27" s="21" t="n">
        <v>10000</v>
      </c>
      <c r="I27" s="23" t="n">
        <v>0</v>
      </c>
      <c r="J27" s="31" t="inlineStr">
        <is>
          <t>aucune</t>
        </is>
      </c>
      <c r="K27" s="23" t="n"/>
      <c r="L27" s="31" t="n">
        <v>0.8</v>
      </c>
      <c r="M27" s="21" t="n"/>
      <c r="N27" s="21" t="n"/>
      <c r="O27" s="28">
        <f>IF(A27="","",IF(SUMPRODUCT((Plans!$A$3:$A$300=A27)*(Plans!$B$3:$B$300=B27)*(Plans!$C$3:$C$300=C27))=0,"PLAN INCONNU","ok"))</f>
        <v/>
      </c>
    </row>
    <row r="28">
      <c r="A28" s="16" t="inlineStr">
        <is>
          <t>futures-growth</t>
        </is>
      </c>
      <c r="B28" s="21" t="n">
        <v>50000</v>
      </c>
      <c r="C28" s="16" t="n"/>
      <c r="D28" s="16" t="inlineStr">
        <is>
          <t>evaluation</t>
        </is>
      </c>
      <c r="E28" s="21" t="n">
        <v>3000</v>
      </c>
      <c r="F28" s="21" t="n">
        <v>2000</v>
      </c>
      <c r="G28" s="16" t="inlineStr">
        <is>
          <t>End of Day</t>
        </is>
      </c>
      <c r="H28" s="21" t="inlineStr">
        <is>
          <t>aucune</t>
        </is>
      </c>
      <c r="I28" s="23" t="n">
        <v>0</v>
      </c>
      <c r="J28" s="31" t="n">
        <v>0.4</v>
      </c>
      <c r="K28" s="23" t="n">
        <v>5</v>
      </c>
      <c r="L28" s="31" t="n"/>
      <c r="M28" s="21" t="n"/>
      <c r="N28" s="21" t="n"/>
      <c r="O28" s="28">
        <f>IF(A28="","",IF(SUMPRODUCT((Plans!$A$3:$A$300=A28)*(Plans!$B$3:$B$300=B28)*(Plans!$C$3:$C$300=C28))=0,"PLAN INCONNU","ok"))</f>
        <v/>
      </c>
    </row>
    <row r="29">
      <c r="A29" s="16" t="inlineStr">
        <is>
          <t>futures-growth</t>
        </is>
      </c>
      <c r="B29" s="21" t="n">
        <v>50000</v>
      </c>
      <c r="C29" s="16" t="n"/>
      <c r="D29" s="16" t="inlineStr">
        <is>
          <t>funded</t>
        </is>
      </c>
      <c r="E29" s="21" t="n"/>
      <c r="F29" s="21" t="n">
        <v>2000</v>
      </c>
      <c r="G29" s="16" t="inlineStr">
        <is>
          <t>End of Day</t>
        </is>
      </c>
      <c r="H29" s="21" t="inlineStr">
        <is>
          <t>aucune</t>
        </is>
      </c>
      <c r="I29" s="23" t="n">
        <v>0</v>
      </c>
      <c r="J29" s="31" t="inlineStr">
        <is>
          <t>aucune</t>
        </is>
      </c>
      <c r="K29" s="23" t="n">
        <v>5</v>
      </c>
      <c r="L29" s="31" t="n">
        <v>0.9</v>
      </c>
      <c r="M29" s="21" t="n">
        <v>2500</v>
      </c>
      <c r="N29" s="21" t="n">
        <v>20</v>
      </c>
      <c r="O29" s="28">
        <f>IF(A29="","",IF(SUMPRODUCT((Plans!$A$3:$A$300=A29)*(Plans!$B$3:$B$300=B29)*(Plans!$C$3:$C$300=C29))=0,"PLAN INCONNU","ok"))</f>
        <v/>
      </c>
    </row>
    <row r="30">
      <c r="A30" s="16" t="inlineStr">
        <is>
          <t>futures-growth</t>
        </is>
      </c>
      <c r="B30" s="21" t="n">
        <v>100000</v>
      </c>
      <c r="C30" s="16" t="n"/>
      <c r="D30" s="16" t="inlineStr">
        <is>
          <t>evaluation</t>
        </is>
      </c>
      <c r="E30" s="21" t="n">
        <v>6000</v>
      </c>
      <c r="F30" s="21" t="n">
        <v>3500</v>
      </c>
      <c r="G30" s="16" t="inlineStr">
        <is>
          <t>End of Day</t>
        </is>
      </c>
      <c r="H30" s="21" t="inlineStr">
        <is>
          <t>aucune</t>
        </is>
      </c>
      <c r="I30" s="23" t="n">
        <v>0</v>
      </c>
      <c r="J30" s="31" t="n">
        <v>0.4</v>
      </c>
      <c r="K30" s="23" t="n">
        <v>10</v>
      </c>
      <c r="L30" s="31" t="n"/>
      <c r="M30" s="21" t="n"/>
      <c r="N30" s="21" t="n"/>
      <c r="O30" s="28">
        <f>IF(A30="","",IF(SUMPRODUCT((Plans!$A$3:$A$300=A30)*(Plans!$B$3:$B$300=B30)*(Plans!$C$3:$C$300=C30))=0,"PLAN INCONNU","ok"))</f>
        <v/>
      </c>
    </row>
    <row r="31">
      <c r="A31" s="16" t="inlineStr">
        <is>
          <t>futures-growth</t>
        </is>
      </c>
      <c r="B31" s="21" t="n">
        <v>100000</v>
      </c>
      <c r="C31" s="16" t="n"/>
      <c r="D31" s="16" t="inlineStr">
        <is>
          <t>funded</t>
        </is>
      </c>
      <c r="E31" s="21" t="n"/>
      <c r="F31" s="21" t="n">
        <v>3500</v>
      </c>
      <c r="G31" s="16" t="inlineStr">
        <is>
          <t>End of Day</t>
        </is>
      </c>
      <c r="H31" s="21" t="inlineStr">
        <is>
          <t>aucune</t>
        </is>
      </c>
      <c r="I31" s="23" t="n">
        <v>0</v>
      </c>
      <c r="J31" s="31" t="inlineStr">
        <is>
          <t>aucune</t>
        </is>
      </c>
      <c r="K31" s="23" t="n">
        <v>10</v>
      </c>
      <c r="L31" s="31" t="n">
        <v>0.9</v>
      </c>
      <c r="M31" s="21" t="n">
        <v>3000</v>
      </c>
      <c r="N31" s="21" t="n">
        <v>20</v>
      </c>
      <c r="O31" s="28">
        <f>IF(A31="","",IF(SUMPRODUCT((Plans!$A$3:$A$300=A31)*(Plans!$B$3:$B$300=B31)*(Plans!$C$3:$C$300=C31))=0,"PLAN INCONNU","ok"))</f>
        <v/>
      </c>
    </row>
    <row r="32">
      <c r="A32" s="16" t="inlineStr">
        <is>
          <t>futures-growth</t>
        </is>
      </c>
      <c r="B32" s="21" t="n">
        <v>150000</v>
      </c>
      <c r="C32" s="16" t="n"/>
      <c r="D32" s="16" t="inlineStr">
        <is>
          <t>evaluation</t>
        </is>
      </c>
      <c r="E32" s="21" t="n">
        <v>9000</v>
      </c>
      <c r="F32" s="21" t="n">
        <v>5000</v>
      </c>
      <c r="G32" s="16" t="inlineStr">
        <is>
          <t>End of Day</t>
        </is>
      </c>
      <c r="H32" s="21" t="inlineStr">
        <is>
          <t>aucune</t>
        </is>
      </c>
      <c r="I32" s="23" t="n">
        <v>0</v>
      </c>
      <c r="J32" s="31" t="n">
        <v>0.4</v>
      </c>
      <c r="K32" s="23" t="n">
        <v>15</v>
      </c>
      <c r="L32" s="31" t="n"/>
      <c r="M32" s="21" t="n"/>
      <c r="N32" s="21" t="n"/>
      <c r="O32" s="28">
        <f>IF(A32="","",IF(SUMPRODUCT((Plans!$A$3:$A$300=A32)*(Plans!$B$3:$B$300=B32)*(Plans!$C$3:$C$300=C32))=0,"PLAN INCONNU","ok"))</f>
        <v/>
      </c>
    </row>
    <row r="33">
      <c r="A33" s="16" t="inlineStr">
        <is>
          <t>futures-growth</t>
        </is>
      </c>
      <c r="B33" s="21" t="n">
        <v>150000</v>
      </c>
      <c r="C33" s="16" t="n"/>
      <c r="D33" s="16" t="inlineStr">
        <is>
          <t>funded</t>
        </is>
      </c>
      <c r="E33" s="21" t="n"/>
      <c r="F33" s="21" t="n">
        <v>5000</v>
      </c>
      <c r="G33" s="16" t="inlineStr">
        <is>
          <t>End of Day</t>
        </is>
      </c>
      <c r="H33" s="21" t="inlineStr">
        <is>
          <t>aucune</t>
        </is>
      </c>
      <c r="I33" s="23" t="n">
        <v>0</v>
      </c>
      <c r="J33" s="31" t="inlineStr">
        <is>
          <t>aucune</t>
        </is>
      </c>
      <c r="K33" s="23" t="n">
        <v>15</v>
      </c>
      <c r="L33" s="31" t="n">
        <v>0.9</v>
      </c>
      <c r="M33" s="21" t="n">
        <v>4000</v>
      </c>
      <c r="N33" s="21" t="n">
        <v>20</v>
      </c>
      <c r="O33" s="28">
        <f>IF(A33="","",IF(SUMPRODUCT((Plans!$A$3:$A$300=A33)*(Plans!$B$3:$B$300=B33)*(Plans!$C$3:$C$300=C33))=0,"PLAN INCONNU","ok"))</f>
        <v/>
      </c>
    </row>
    <row r="34">
      <c r="A34" s="16" t="inlineStr">
        <is>
          <t>futures-pro</t>
        </is>
      </c>
      <c r="B34" s="21" t="n">
        <v>50000</v>
      </c>
      <c r="C34" s="16" t="n"/>
      <c r="D34" s="16" t="inlineStr">
        <is>
          <t>evaluation</t>
        </is>
      </c>
      <c r="E34" s="21" t="n">
        <v>3000</v>
      </c>
      <c r="F34" s="21" t="n">
        <v>3000</v>
      </c>
      <c r="G34" s="16" t="inlineStr">
        <is>
          <t>End of Day</t>
        </is>
      </c>
      <c r="H34" s="21" t="n">
        <v>1000</v>
      </c>
      <c r="I34" s="23" t="n">
        <v>0</v>
      </c>
      <c r="J34" s="31" t="n">
        <v>0.5</v>
      </c>
      <c r="K34" s="23" t="n">
        <v>5</v>
      </c>
      <c r="L34" s="31" t="n"/>
      <c r="M34" s="21" t="n"/>
      <c r="N34" s="21" t="n"/>
      <c r="O34" s="28">
        <f>IF(A34="","",IF(SUMPRODUCT((Plans!$A$3:$A$300=A34)*(Plans!$B$3:$B$300=B34)*(Plans!$C$3:$C$300=C34))=0,"PLAN INCONNU","ok"))</f>
        <v/>
      </c>
    </row>
    <row r="35">
      <c r="A35" s="16" t="inlineStr">
        <is>
          <t>futures-pro</t>
        </is>
      </c>
      <c r="B35" s="21" t="n">
        <v>50000</v>
      </c>
      <c r="C35" s="16" t="n"/>
      <c r="D35" s="16" t="inlineStr">
        <is>
          <t>funded</t>
        </is>
      </c>
      <c r="E35" s="21" t="n"/>
      <c r="F35" s="21" t="n">
        <v>3000</v>
      </c>
      <c r="G35" s="16" t="inlineStr">
        <is>
          <t>End of Day</t>
        </is>
      </c>
      <c r="H35" s="21" t="n">
        <v>1000</v>
      </c>
      <c r="I35" s="23" t="n">
        <v>0</v>
      </c>
      <c r="J35" s="31" t="inlineStr">
        <is>
          <t>aucune</t>
        </is>
      </c>
      <c r="K35" s="23" t="n">
        <v>5</v>
      </c>
      <c r="L35" s="31" t="n">
        <v>0.9</v>
      </c>
      <c r="M35" s="21" t="n">
        <v>5000</v>
      </c>
      <c r="N35" s="21" t="n">
        <v>20</v>
      </c>
      <c r="O35" s="28">
        <f>IF(A35="","",IF(SUMPRODUCT((Plans!$A$3:$A$300=A35)*(Plans!$B$3:$B$300=B35)*(Plans!$C$3:$C$300=C35))=0,"PLAN INCONNU","ok"))</f>
        <v/>
      </c>
    </row>
    <row r="36">
      <c r="A36" s="16" t="inlineStr">
        <is>
          <t>futures-pro</t>
        </is>
      </c>
      <c r="B36" s="21" t="n">
        <v>100000</v>
      </c>
      <c r="C36" s="16" t="n"/>
      <c r="D36" s="16" t="inlineStr">
        <is>
          <t>evaluation</t>
        </is>
      </c>
      <c r="E36" s="21" t="n">
        <v>6000</v>
      </c>
      <c r="F36" s="21" t="n">
        <v>4500</v>
      </c>
      <c r="G36" s="16" t="inlineStr">
        <is>
          <t>End of Day</t>
        </is>
      </c>
      <c r="H36" s="21" t="n">
        <v>1500</v>
      </c>
      <c r="I36" s="23" t="n">
        <v>0</v>
      </c>
      <c r="J36" s="31" t="n">
        <v>0.5</v>
      </c>
      <c r="K36" s="23" t="n">
        <v>10</v>
      </c>
      <c r="L36" s="31" t="n"/>
      <c r="M36" s="21" t="n"/>
      <c r="N36" s="21" t="n"/>
      <c r="O36" s="28">
        <f>IF(A36="","",IF(SUMPRODUCT((Plans!$A$3:$A$300=A36)*(Plans!$B$3:$B$300=B36)*(Plans!$C$3:$C$300=C36))=0,"PLAN INCONNU","ok"))</f>
        <v/>
      </c>
    </row>
    <row r="37">
      <c r="A37" s="16" t="inlineStr">
        <is>
          <t>futures-pro</t>
        </is>
      </c>
      <c r="B37" s="21" t="n">
        <v>100000</v>
      </c>
      <c r="C37" s="16" t="n"/>
      <c r="D37" s="16" t="inlineStr">
        <is>
          <t>funded</t>
        </is>
      </c>
      <c r="E37" s="21" t="n"/>
      <c r="F37" s="21" t="n">
        <v>4500</v>
      </c>
      <c r="G37" s="16" t="inlineStr">
        <is>
          <t>End of Day</t>
        </is>
      </c>
      <c r="H37" s="21" t="n">
        <v>1500</v>
      </c>
      <c r="I37" s="23" t="n">
        <v>0</v>
      </c>
      <c r="J37" s="31" t="inlineStr">
        <is>
          <t>aucune</t>
        </is>
      </c>
      <c r="K37" s="23" t="n">
        <v>10</v>
      </c>
      <c r="L37" s="31" t="n">
        <v>0.9</v>
      </c>
      <c r="M37" s="21" t="n">
        <v>6000</v>
      </c>
      <c r="N37" s="21" t="n">
        <v>20</v>
      </c>
      <c r="O37" s="28">
        <f>IF(A37="","",IF(SUMPRODUCT((Plans!$A$3:$A$300=A37)*(Plans!$B$3:$B$300=B37)*(Plans!$C$3:$C$300=C37))=0,"PLAN INCONNU","ok"))</f>
        <v/>
      </c>
    </row>
    <row r="38">
      <c r="A38" s="16" t="inlineStr">
        <is>
          <t>futures-pro</t>
        </is>
      </c>
      <c r="B38" s="21" t="n">
        <v>150000</v>
      </c>
      <c r="C38" s="16" t="n"/>
      <c r="D38" s="16" t="inlineStr">
        <is>
          <t>evaluation</t>
        </is>
      </c>
      <c r="E38" s="21" t="n">
        <v>9000</v>
      </c>
      <c r="F38" s="21" t="n">
        <v>6000</v>
      </c>
      <c r="G38" s="16" t="inlineStr">
        <is>
          <t>End of Day</t>
        </is>
      </c>
      <c r="H38" s="21" t="n">
        <v>2000</v>
      </c>
      <c r="I38" s="23" t="n">
        <v>0</v>
      </c>
      <c r="J38" s="31" t="n">
        <v>0.5</v>
      </c>
      <c r="K38" s="23" t="n">
        <v>15</v>
      </c>
      <c r="L38" s="31" t="n"/>
      <c r="M38" s="21" t="n"/>
      <c r="N38" s="21" t="n"/>
      <c r="O38" s="28">
        <f>IF(A38="","",IF(SUMPRODUCT((Plans!$A$3:$A$300=A38)*(Plans!$B$3:$B$300=B38)*(Plans!$C$3:$C$300=C38))=0,"PLAN INCONNU","ok"))</f>
        <v/>
      </c>
    </row>
    <row r="39">
      <c r="A39" s="16" t="inlineStr">
        <is>
          <t>futures-pro</t>
        </is>
      </c>
      <c r="B39" s="21" t="n">
        <v>150000</v>
      </c>
      <c r="C39" s="16" t="n"/>
      <c r="D39" s="16" t="inlineStr">
        <is>
          <t>funded</t>
        </is>
      </c>
      <c r="E39" s="21" t="n"/>
      <c r="F39" s="21" t="n">
        <v>6000</v>
      </c>
      <c r="G39" s="16" t="inlineStr">
        <is>
          <t>End of Day</t>
        </is>
      </c>
      <c r="H39" s="21" t="n">
        <v>2000</v>
      </c>
      <c r="I39" s="23" t="n">
        <v>0</v>
      </c>
      <c r="J39" s="31" t="inlineStr">
        <is>
          <t>aucune</t>
        </is>
      </c>
      <c r="K39" s="23" t="n">
        <v>15</v>
      </c>
      <c r="L39" s="31" t="n">
        <v>0.9</v>
      </c>
      <c r="M39" s="21" t="n">
        <v>8000</v>
      </c>
      <c r="N39" s="21" t="n">
        <v>20</v>
      </c>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the 1-Step and the futures accounts, two on the 2-Step. No time limit on the CFD challenges.</t>
        </is>
      </c>
    </row>
    <row r="4">
      <c r="A4" s="24" t="n">
        <v>2</v>
      </c>
      <c r="B4" s="17" t="inlineStr">
        <is>
          <t>funded</t>
        </is>
      </c>
      <c r="C4" s="17" t="inlineStr">
        <is>
          <t>FTMO Account</t>
        </is>
      </c>
      <c r="D4" s="17" t="inlineStr">
        <is>
          <t>You trade a simulated account under the same loss limits, with no profit target and no minimum days.</t>
        </is>
      </c>
    </row>
    <row r="5">
      <c r="A5" s="24" t="n">
        <v>3</v>
      </c>
      <c r="B5" s="17" t="inlineStr">
        <is>
          <t>payout</t>
        </is>
      </c>
      <c r="C5" s="17" t="inlineStr">
        <is>
          <t>Rewards</t>
        </is>
      </c>
      <c r="D5" s="17" t="inlineStr">
        <is>
          <t>The first CFD reward comes 14 days after your first trade, then on demand. Processing is announced within one to two business days.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Challenge fee</t>
        </is>
      </c>
      <c r="C3" s="17" t="inlineStr">
        <is>
          <t>One-time</t>
        </is>
      </c>
      <c r="D3" s="17" t="inlineStr">
        <is>
          <t>Paid once, at purchase. Refunded in full with the first reward on the 2-Step; not refunded on the 1-Step.</t>
        </is>
      </c>
      <c r="E3" s="17" t="inlineStr">
        <is>
          <t>1-step, 2-step</t>
        </is>
      </c>
    </row>
    <row r="4">
      <c r="A4" s="23" t="n">
        <v>2</v>
      </c>
      <c r="B4" s="16" t="inlineStr">
        <is>
          <t>Reset</t>
        </is>
      </c>
      <c r="C4" s="16" t="inlineStr">
        <is>
          <t>None</t>
        </is>
      </c>
      <c r="D4" s="16" t="inlineStr">
        <is>
          <t>There is no free reset on the CFD challenges: a new attempt means a new challenge. The Free Trial is free and unlimited.</t>
        </is>
      </c>
      <c r="E4" s="16" t="inlineStr">
        <is>
          <t>1-step, 2-step</t>
        </is>
      </c>
    </row>
    <row r="5">
      <c r="A5" s="23" t="n">
        <v>3</v>
      </c>
      <c r="B5" s="16" t="inlineStr">
        <is>
          <t>Subscription</t>
        </is>
      </c>
      <c r="C5" s="16" t="inlineStr">
        <is>
          <t>Monthly</t>
        </is>
      </c>
      <c r="D5" s="16" t="inlineStr">
        <is>
          <t>FTMO Futures is billed every month until you pass or cancel. A failed account is replaced at the next renewal.</t>
        </is>
      </c>
      <c r="E5" s="16" t="inlineStr">
        <is>
          <t>futures-growth, futures-pro</t>
        </is>
      </c>
    </row>
    <row r="6">
      <c r="A6" s="23" t="n">
        <v>4</v>
      </c>
      <c r="B6" s="16" t="inlineStr">
        <is>
          <t>Commissions</t>
        </is>
      </c>
      <c r="C6" s="16" t="inlineStr">
        <is>
          <t>Per trade</t>
        </is>
      </c>
      <c r="D6" s="16" t="inlineStr">
        <is>
          <t>CFD: $5 per forex lot, 0.0014% on metals, 0.065% on crypto, 0.004% on stocks, nothing on indices, energies and other commodities.</t>
        </is>
      </c>
      <c r="E6" s="16" t="inlineStr">
        <is>
          <t>1-step, 2-step</t>
        </is>
      </c>
    </row>
    <row r="7">
      <c r="A7" s="23" t="n">
        <v>5</v>
      </c>
      <c r="B7" s="16" t="inlineStr">
        <is>
          <t>FTMO special deal</t>
        </is>
      </c>
      <c r="C7" s="16" t="inlineStr">
        <is>
          <t>-20% on the $100K</t>
        </is>
      </c>
      <c r="D7" s="16" t="inlineStr">
        <is>
          <t>FTMO's own promotion, read on ftmo.com on 23 September 2026: EUR 399 instead of 499 on the 1-Step, EUR 439 instead of 540 on the 2-Step, for traders who do not already hold an active $100K challenge. No end date announced. Prices above are list prices.</t>
        </is>
      </c>
      <c r="E7" s="16" t="inlineStr">
        <is>
          <t>1-step, 2-step</t>
        </is>
      </c>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Daily loss</t>
        </is>
      </c>
      <c r="C3" s="17" t="inlineStr">
        <is>
          <t>Reset every day at 00:00 CE(S)T from the midnight balance, and measured on equity, open positions included.</t>
        </is>
      </c>
      <c r="D3" s="17" t="inlineStr">
        <is>
          <t>confirmed</t>
        </is>
      </c>
      <c r="E3" s="17" t="inlineStr">
        <is>
          <t>1-step, 2-step</t>
        </is>
      </c>
      <c r="F3" s="17" t="n"/>
      <c r="G3" s="17" t="n"/>
      <c r="H3" s="17" t="inlineStr">
        <is>
          <t>oui</t>
        </is>
      </c>
      <c r="I3" s="17" t="inlineStr">
        <is>
          <t>oui</t>
        </is>
      </c>
      <c r="J3" s="17" t="inlineStr">
        <is>
          <t>https://ftmo.com/en/trading-objectives/</t>
        </is>
      </c>
    </row>
    <row r="4">
      <c r="A4" s="17" t="inlineStr">
        <is>
          <t>trading</t>
        </is>
      </c>
      <c r="B4" s="17" t="inlineStr">
        <is>
          <t>Time limit</t>
        </is>
      </c>
      <c r="C4" s="17" t="inlineStr">
        <is>
          <t>None: the CFD challenges have no deadline.</t>
        </is>
      </c>
      <c r="D4" s="17" t="inlineStr">
        <is>
          <t>confirmed</t>
        </is>
      </c>
      <c r="E4" s="17" t="inlineStr">
        <is>
          <t>1-step, 2-step</t>
        </is>
      </c>
      <c r="F4" s="17" t="n"/>
      <c r="G4" s="17" t="inlineStr">
        <is>
          <t>evaluation</t>
        </is>
      </c>
      <c r="H4" s="17" t="n"/>
      <c r="I4" s="17" t="inlineStr">
        <is>
          <t>oui</t>
        </is>
      </c>
      <c r="J4" s="17" t="inlineStr">
        <is>
          <t>https://ftmo.com/en/trading-objectives/</t>
        </is>
      </c>
    </row>
    <row r="5">
      <c r="A5" s="16" t="inlineStr">
        <is>
          <t>trading</t>
        </is>
      </c>
      <c r="B5" s="16" t="inlineStr">
        <is>
          <t>News trading</t>
        </is>
      </c>
      <c r="C5" s="16" t="inlineStr">
        <is>
          <t>Allowed during the evaluation, on both Standard and Swing.</t>
        </is>
      </c>
      <c r="D5" s="16" t="inlineStr">
        <is>
          <t>confirmed</t>
        </is>
      </c>
      <c r="E5" s="16" t="inlineStr">
        <is>
          <t>1-step, 2-step</t>
        </is>
      </c>
      <c r="F5" s="16" t="n"/>
      <c r="G5" s="16" t="inlineStr">
        <is>
          <t>evaluation</t>
        </is>
      </c>
      <c r="H5" s="16" t="n"/>
      <c r="I5" s="16" t="inlineStr">
        <is>
          <t>oui</t>
        </is>
      </c>
      <c r="J5" s="16" t="inlineStr">
        <is>
          <t>https://ftmo.com/en/trading-objectives/</t>
        </is>
      </c>
    </row>
    <row r="6">
      <c r="A6" s="16" t="inlineStr">
        <is>
          <t>trading</t>
        </is>
      </c>
      <c r="B6" s="16" t="inlineStr">
        <is>
          <t>News on a Standard FTMO Account</t>
        </is>
      </c>
      <c r="C6" s="16" t="inlineStr">
        <is>
          <t>No position may be opened or closed from two minutes before to two minutes after selected macroeconomic releases, pending orders and stop-loss or take-profit executions included.</t>
        </is>
      </c>
      <c r="D6" s="16" t="inlineStr">
        <is>
          <t>confirmed</t>
        </is>
      </c>
      <c r="E6" s="16" t="inlineStr">
        <is>
          <t>1-step, 2-step</t>
        </is>
      </c>
      <c r="F6" s="16" t="n"/>
      <c r="G6" s="16" t="inlineStr">
        <is>
          <t>funded</t>
        </is>
      </c>
      <c r="H6" s="16" t="inlineStr">
        <is>
          <t>oui</t>
        </is>
      </c>
      <c r="I6" s="16" t="inlineStr">
        <is>
          <t>oui</t>
        </is>
      </c>
      <c r="J6" s="16" t="inlineStr">
        <is>
          <t>https://ftmo.com/en/trading-objectives/</t>
        </is>
      </c>
    </row>
    <row r="7">
      <c r="A7" s="16" t="inlineStr">
        <is>
          <t>trading</t>
        </is>
      </c>
      <c r="B7" s="16" t="inlineStr">
        <is>
          <t>Weekend on a Standard FTMO Account</t>
        </is>
      </c>
      <c r="C7" s="16" t="inlineStr">
        <is>
          <t>Positions must be closed before the weekend and before any market interruption or rollover longer than two hours.</t>
        </is>
      </c>
      <c r="D7" s="16" t="inlineStr">
        <is>
          <t>confirmed</t>
        </is>
      </c>
      <c r="E7" s="16" t="inlineStr">
        <is>
          <t>1-step, 2-step</t>
        </is>
      </c>
      <c r="F7" s="16" t="n"/>
      <c r="G7" s="16" t="inlineStr">
        <is>
          <t>funded</t>
        </is>
      </c>
      <c r="H7" s="16" t="inlineStr">
        <is>
          <t>oui</t>
        </is>
      </c>
      <c r="I7" s="16" t="inlineStr">
        <is>
          <t>oui</t>
        </is>
      </c>
      <c r="J7" s="16" t="inlineStr">
        <is>
          <t>https://ftmo.com/en/trading-objectives/</t>
        </is>
      </c>
    </row>
    <row r="8">
      <c r="A8" s="16" t="inlineStr">
        <is>
          <t>trading</t>
        </is>
      </c>
      <c r="B8" s="16" t="inlineStr">
        <is>
          <t>Swing account type</t>
        </is>
      </c>
      <c r="C8" s="16" t="inlineStr">
        <is>
          <t>Offered on the 2-Step only, and picked during checkout. It lifts every FTMO restriction on news, overnight and weekend positions, funded included, in exchange for lower leverage. FTMO does not publish its price.</t>
        </is>
      </c>
      <c r="D8" s="16" t="inlineStr">
        <is>
          <t>confirmed</t>
        </is>
      </c>
      <c r="E8" s="16" t="inlineStr">
        <is>
          <t>2-step</t>
        </is>
      </c>
      <c r="F8" s="16" t="n"/>
      <c r="G8" s="16" t="n"/>
      <c r="H8" s="16" t="n"/>
      <c r="I8" s="16" t="inlineStr">
        <is>
          <t>oui</t>
        </is>
      </c>
      <c r="J8" s="16" t="inlineStr">
        <is>
          <t>https://ftmo.com/en/faq/ftmo-swing-account-type/</t>
        </is>
      </c>
    </row>
    <row r="9">
      <c r="A9" s="16" t="inlineStr">
        <is>
          <t>trading</t>
        </is>
      </c>
      <c r="B9" s="16" t="inlineStr">
        <is>
          <t>Leverage</t>
        </is>
      </c>
      <c r="C9" s="16" t="inlineStr">
        <is>
          <t>Standard: up to 1:100 on forex, 1:50 on indices, metals and energies, 1:3.33 on commodities, crypto and stocks. Swing: up to 1:30 on forex, around 1:15 on indices, metals and energies, 1:1 on crypto and stocks. The exact figure belongs to the symbol.</t>
        </is>
      </c>
      <c r="D9" s="16" t="inlineStr">
        <is>
          <t>confirmed</t>
        </is>
      </c>
      <c r="E9" s="16" t="inlineStr">
        <is>
          <t>1-step, 2-step</t>
        </is>
      </c>
      <c r="F9" s="16" t="n"/>
      <c r="G9" s="16" t="n"/>
      <c r="H9" s="16" t="n"/>
      <c r="I9" s="16" t="inlineStr">
        <is>
          <t>oui</t>
        </is>
      </c>
      <c r="J9" s="16" t="inlineStr">
        <is>
          <t>https://ftmo.com/en/trading-objectives/</t>
        </is>
      </c>
    </row>
    <row r="10">
      <c r="A10" s="16" t="inlineStr">
        <is>
          <t>trading</t>
        </is>
      </c>
      <c r="B10" s="16" t="inlineStr">
        <is>
          <t>Best day rule</t>
        </is>
      </c>
      <c r="C10" s="16" t="inlineStr">
        <is>
          <t>Your best day must stay under 50% of the profit made on winning days. Going over is not a breach: you keep trading until you are back under.</t>
        </is>
      </c>
      <c r="D10" s="16" t="inlineStr">
        <is>
          <t>confirmed</t>
        </is>
      </c>
      <c r="E10" s="16" t="inlineStr">
        <is>
          <t>1-step</t>
        </is>
      </c>
      <c r="F10" s="16" t="n"/>
      <c r="G10" s="16" t="n"/>
      <c r="H10" s="16" t="n"/>
      <c r="I10" s="16" t="inlineStr">
        <is>
          <t>oui</t>
        </is>
      </c>
      <c r="J10" s="16" t="inlineStr">
        <is>
          <t>https://ftmo.com/en/trading-objectives/</t>
        </is>
      </c>
    </row>
    <row r="11">
      <c r="A11" s="16" t="inlineStr">
        <is>
          <t>trading</t>
        </is>
      </c>
      <c r="B11" s="16" t="inlineStr">
        <is>
          <t>Changing platform or account type</t>
        </is>
      </c>
      <c r="C11" s="16" t="inlineStr">
        <is>
          <t>Possible as long as no trade has been placed, and after each reward.</t>
        </is>
      </c>
      <c r="D11" s="16" t="inlineStr">
        <is>
          <t>confirmed</t>
        </is>
      </c>
      <c r="E11" s="16" t="inlineStr">
        <is>
          <t>1-step, 2-step</t>
        </is>
      </c>
      <c r="F11" s="16" t="n"/>
      <c r="G11" s="16" t="n"/>
      <c r="H11" s="16" t="n"/>
      <c r="I11" s="16" t="n"/>
      <c r="J11" s="16" t="inlineStr">
        <is>
          <t>https://ftmo.com/en/trading-objectives/</t>
        </is>
      </c>
    </row>
    <row r="12">
      <c r="A12" s="16" t="inlineStr">
        <is>
          <t>trading</t>
        </is>
      </c>
      <c r="B12" s="16" t="inlineStr">
        <is>
          <t>Trading day</t>
        </is>
      </c>
      <c r="C12" s="16" t="inlineStr">
        <is>
          <t>Futures accounts trade from 6:00 PM to 4:10 PM ET.</t>
        </is>
      </c>
      <c r="D12" s="16" t="inlineStr">
        <is>
          <t>confirmed</t>
        </is>
      </c>
      <c r="E12" s="16" t="inlineStr">
        <is>
          <t>futures-growth, futures-pro</t>
        </is>
      </c>
      <c r="F12" s="16" t="n"/>
      <c r="G12" s="16" t="n"/>
      <c r="H12" s="16" t="n"/>
      <c r="I12" s="16" t="inlineStr">
        <is>
          <t>oui</t>
        </is>
      </c>
      <c r="J12" s="16" t="inlineStr">
        <is>
          <t>https://ftmo.com/en/futures/trading-objectives-and-rules/</t>
        </is>
      </c>
    </row>
    <row r="13">
      <c r="A13" s="16" t="inlineStr">
        <is>
          <t>trading</t>
        </is>
      </c>
      <c r="B13" s="16" t="inlineStr">
        <is>
          <t>Consistency</t>
        </is>
      </c>
      <c r="C13" s="16" t="inlineStr">
        <is>
          <t>Futures evaluation: your best day must stay under 40% of the total profit on Growth, and under 50% on Pro.</t>
        </is>
      </c>
      <c r="D13" s="16" t="inlineStr">
        <is>
          <t>confirmed</t>
        </is>
      </c>
      <c r="E13" s="16" t="inlineStr">
        <is>
          <t>futures-growth, futures-pro</t>
        </is>
      </c>
      <c r="F13" s="16" t="n"/>
      <c r="G13" s="16" t="inlineStr">
        <is>
          <t>evaluation</t>
        </is>
      </c>
      <c r="H13" s="16" t="n"/>
      <c r="I13" s="16" t="inlineStr">
        <is>
          <t>oui</t>
        </is>
      </c>
      <c r="J13" s="16" t="inlineStr">
        <is>
          <t>https://ftmo.com/en/futures/trading-objectives-and-rules/</t>
        </is>
      </c>
    </row>
    <row r="14">
      <c r="A14" s="16" t="inlineStr">
        <is>
          <t>trading</t>
        </is>
      </c>
      <c r="B14" s="16" t="inlineStr">
        <is>
          <t>Accounts at the same time</t>
        </is>
      </c>
      <c r="C14" s="16" t="inlineStr">
        <is>
          <t>Unlimited futures evaluations, and up to three sim-funded accounts.</t>
        </is>
      </c>
      <c r="D14" s="16" t="inlineStr">
        <is>
          <t>confirmed</t>
        </is>
      </c>
      <c r="E14" s="16" t="inlineStr">
        <is>
          <t>futures-growth, futures-pro</t>
        </is>
      </c>
      <c r="F14" s="16" t="n"/>
      <c r="G14" s="16" t="n"/>
      <c r="H14" s="16" t="n"/>
      <c r="I14" s="16" t="n"/>
      <c r="J14" s="16" t="inlineStr">
        <is>
          <t>https://ftmo.com/en/futures/trading-objectives-and-rules/</t>
        </is>
      </c>
    </row>
    <row r="15">
      <c r="A15" s="16" t="inlineStr">
        <is>
          <t>payouts</t>
        </is>
      </c>
      <c r="B15" s="16" t="inlineStr">
        <is>
          <t>First reward</t>
        </is>
      </c>
      <c r="C15" s="16" t="inlineStr">
        <is>
          <t>Available 14 days after your first trade on the FTMO Account, with the account in profit and no position or pending order left open. After that, on demand.</t>
        </is>
      </c>
      <c r="D15" s="16" t="inlineStr">
        <is>
          <t>confirmed</t>
        </is>
      </c>
      <c r="E15" s="16" t="inlineStr">
        <is>
          <t>1-step, 2-step</t>
        </is>
      </c>
      <c r="F15" s="16" t="n"/>
      <c r="G15" s="16" t="inlineStr">
        <is>
          <t>funded</t>
        </is>
      </c>
      <c r="H15" s="16" t="n"/>
      <c r="I15" s="16" t="inlineStr">
        <is>
          <t>oui</t>
        </is>
      </c>
      <c r="J15" s="16" t="inlineStr">
        <is>
          <t>https://ftmo.com/en/trading-objectives/</t>
        </is>
      </c>
    </row>
    <row r="16">
      <c r="A16" s="16" t="inlineStr">
        <is>
          <t>payouts</t>
        </is>
      </c>
      <c r="B16" s="16" t="inlineStr">
        <is>
          <t>Processing</t>
        </is>
      </c>
      <c r="C16" s="16" t="inlineStr">
        <is>
          <t>Announced within one to two business days.</t>
        </is>
      </c>
      <c r="D16" s="16" t="inlineStr">
        <is>
          <t>confirmed</t>
        </is>
      </c>
      <c r="E16" s="16" t="inlineStr">
        <is>
          <t>1-step, 2-step</t>
        </is>
      </c>
      <c r="F16" s="16" t="n"/>
      <c r="G16" s="16" t="inlineStr">
        <is>
          <t>funded</t>
        </is>
      </c>
      <c r="H16" s="16" t="n"/>
      <c r="I16" s="16" t="inlineStr">
        <is>
          <t>oui</t>
        </is>
      </c>
      <c r="J16" s="16" t="inlineStr">
        <is>
          <t>https://ftmo.com/en/trading-objectives/</t>
        </is>
      </c>
    </row>
    <row r="17">
      <c r="A17" s="16" t="inlineStr">
        <is>
          <t>payouts</t>
        </is>
      </c>
      <c r="B17" s="16" t="inlineStr">
        <is>
          <t>Scaling plan</t>
        </is>
      </c>
      <c r="C17" s="16" t="inlineStr">
        <is>
          <t>+25% capital every four months, up to $2,000,000 across your accounts, with at least 10% net profit over the period, two processed rewards and a positive balance. The split rises to 90% on the 2-Step.</t>
        </is>
      </c>
      <c r="D17" s="16" t="inlineStr">
        <is>
          <t>confirmed</t>
        </is>
      </c>
      <c r="E17" s="16" t="inlineStr">
        <is>
          <t>2-step</t>
        </is>
      </c>
      <c r="F17" s="16" t="n"/>
      <c r="G17" s="16" t="inlineStr">
        <is>
          <t>funded</t>
        </is>
      </c>
      <c r="H17" s="16" t="n"/>
      <c r="I17" s="16" t="inlineStr">
        <is>
          <t>oui</t>
        </is>
      </c>
      <c r="J17" s="16" t="inlineStr">
        <is>
          <t>https://ftmo.com/en/reward-growth-and-scaling-plan/</t>
        </is>
      </c>
    </row>
    <row r="18">
      <c r="A18" s="16" t="inlineStr">
        <is>
          <t>payouts</t>
        </is>
      </c>
      <c r="B18" s="16" t="inlineStr">
        <is>
          <t>Payout eligibility</t>
        </is>
      </c>
      <c r="C18" s="16" t="inlineStr">
        <is>
          <t>Growth: four qualifying days per cycle, each worth at least $150, $250 or $300 by account size. Pro: five qualifying days, each worth at least $200, $300 or $500.</t>
        </is>
      </c>
      <c r="D18" s="16" t="inlineStr">
        <is>
          <t>confirmed</t>
        </is>
      </c>
      <c r="E18" s="16" t="inlineStr">
        <is>
          <t>futures-growth, futures-pro</t>
        </is>
      </c>
      <c r="F18" s="16" t="n"/>
      <c r="G18" s="16" t="inlineStr">
        <is>
          <t>funded</t>
        </is>
      </c>
      <c r="H18" s="16" t="n"/>
      <c r="I18" s="16" t="inlineStr">
        <is>
          <t>oui</t>
        </is>
      </c>
      <c r="J18" s="16" t="inlineStr">
        <is>
          <t>https://ftmo.com/en/futures/trading-objectives-and-rules/</t>
        </is>
      </c>
    </row>
    <row r="19">
      <c r="A19" s="16" t="inlineStr">
        <is>
          <t>payouts</t>
        </is>
      </c>
      <c r="B19" s="16" t="inlineStr">
        <is>
          <t>New profit</t>
        </is>
      </c>
      <c r="C19" s="16" t="inlineStr">
        <is>
          <t>At least half of the amount you request must come from new profit.</t>
        </is>
      </c>
      <c r="D19" s="16" t="inlineStr">
        <is>
          <t>confirmed</t>
        </is>
      </c>
      <c r="E19" s="16" t="inlineStr">
        <is>
          <t>futures-growth, futures-pro</t>
        </is>
      </c>
      <c r="F19" s="16" t="n"/>
      <c r="G19" s="16" t="inlineStr">
        <is>
          <t>funded</t>
        </is>
      </c>
      <c r="H19" s="16" t="n"/>
      <c r="I19" s="16" t="inlineStr">
        <is>
          <t>oui</t>
        </is>
      </c>
      <c r="J19" s="16" t="inlineStr">
        <is>
          <t>https://ftmo.com/en/futures/trading-objectives-and-rules/</t>
        </is>
      </c>
    </row>
    <row r="20">
      <c r="A20" s="16" t="inlineStr">
        <is>
          <t>payouts</t>
        </is>
      </c>
      <c r="B20" s="16" t="inlineStr">
        <is>
          <t>Withdrawal share</t>
        </is>
      </c>
      <c r="C20" s="16" t="inlineStr">
        <is>
          <t>Growth pays out up to 50% of the profit per request; Pro pays out up to 100%.</t>
        </is>
      </c>
      <c r="D20" s="16" t="inlineStr">
        <is>
          <t>confirmed</t>
        </is>
      </c>
      <c r="E20" s="16" t="inlineStr">
        <is>
          <t>futures-growth, futures-pro</t>
        </is>
      </c>
      <c r="F20" s="16" t="n"/>
      <c r="G20" s="16" t="inlineStr">
        <is>
          <t>funded</t>
        </is>
      </c>
      <c r="H20" s="16" t="n"/>
      <c r="I20" s="16" t="inlineStr">
        <is>
          <t>oui</t>
        </is>
      </c>
      <c r="J20" s="16" t="inlineStr">
        <is>
          <t>https://ftmo.com/en/futures/trading-objectives-and-rules/</t>
        </is>
      </c>
    </row>
    <row r="21">
      <c r="A21" s="16" t="inlineStr">
        <is>
          <t>live</t>
        </is>
      </c>
      <c r="B21" s="16" t="inlineStr">
        <is>
          <t>Daily loss once sim-funded</t>
        </is>
      </c>
      <c r="C21" s="16" t="inlineStr">
        <is>
          <t>Growth: hitting it closes your positions and pauses trading until the next day, and you keep the account. Pro: hitting it closes the account.</t>
        </is>
      </c>
      <c r="D21" s="16" t="inlineStr">
        <is>
          <t>confirmed</t>
        </is>
      </c>
      <c r="E21" s="16" t="inlineStr">
        <is>
          <t>futures-growth, futures-pro</t>
        </is>
      </c>
      <c r="F21" s="16" t="n"/>
      <c r="G21" s="16" t="inlineStr">
        <is>
          <t>funded</t>
        </is>
      </c>
      <c r="H21" s="16" t="inlineStr">
        <is>
          <t>oui</t>
        </is>
      </c>
      <c r="I21" s="16" t="inlineStr">
        <is>
          <t>oui</t>
        </is>
      </c>
      <c r="J21" s="16" t="inlineStr">
        <is>
          <t>https://ftmo.com/en/futures/trading-objectives-and-rules/</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rules documented to the dollar and support in 21 languages: FTMO is the reference the rest of the market is compared to. The 2-Step is the most forgiving evaluation and refunds its fee; the 1-Step is faster and pays 90% straight away, in exchange for a trailing loss limit and a best-day rule. The Swing account is one of the few that lets you hold through the news and the weekend once funded. It is not the cheapest route, there is no free reset, and the futures line is young.</t>
        </is>
      </c>
    </row>
    <row r="4">
      <c r="A4" s="17" t="inlineStr">
        <is>
          <t>pour_qui</t>
        </is>
      </c>
      <c r="B4" s="24" t="n">
        <v>1</v>
      </c>
      <c r="C4" s="17" t="inlineStr">
        <is>
          <t>Swing traders: news, overnight and weekend positions stay allowed, funded included.</t>
        </is>
      </c>
    </row>
    <row r="5">
      <c r="A5" s="17" t="inlineStr">
        <is>
          <t>pour_qui</t>
        </is>
      </c>
      <c r="B5" s="24" t="n">
        <v>2</v>
      </c>
      <c r="C5" s="17" t="inlineStr">
        <is>
          <t>Traders who want the gentlest evaluation: static drawdown and 5% daily loss on the 2-Step.</t>
        </is>
      </c>
    </row>
    <row r="6">
      <c r="A6" s="16" t="inlineStr">
        <is>
          <t>pour_qui</t>
        </is>
      </c>
      <c r="B6" s="23" t="n">
        <v>3</v>
      </c>
      <c r="C6" s="16" t="inlineStr">
        <is>
          <t>Traders who want one phase and 90% from the start, on the 1-Step.</t>
        </is>
      </c>
    </row>
    <row r="7">
      <c r="A7" s="16" t="inlineStr">
        <is>
          <t>pour_qui</t>
        </is>
      </c>
      <c r="B7" s="23" t="n">
        <v>4</v>
      </c>
      <c r="C7" s="16" t="inlineStr">
        <is>
          <t>Traders who plan to grow: +25% every four months, up to $2,000,000.</t>
        </is>
      </c>
    </row>
    <row r="8">
      <c r="A8" s="16" t="inlineStr">
        <is>
          <t>limite</t>
        </is>
      </c>
      <c r="B8" s="23" t="n">
        <v>1</v>
      </c>
      <c r="C8" s="16" t="inlineStr">
        <is>
          <t>No free reset on the CFD challenges: every new attempt is a new purchase.</t>
        </is>
      </c>
    </row>
    <row r="9">
      <c r="A9" s="16" t="inlineStr">
        <is>
          <t>limite</t>
        </is>
      </c>
      <c r="B9" s="23" t="n">
        <v>2</v>
      </c>
      <c r="C9" s="16" t="inlineStr">
        <is>
          <t>The 1-Step adds a best-day rule and a trailing loss limit the 2-Step does not have.</t>
        </is>
      </c>
    </row>
    <row r="10">
      <c r="A10" s="16" t="inlineStr">
        <is>
          <t>limite</t>
        </is>
      </c>
      <c r="B10" s="23" t="n">
        <v>3</v>
      </c>
      <c r="C10" s="16" t="inlineStr">
        <is>
          <t>The futures line is recent, and its payouts are capped per request.</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2026-09-23T14:27:03Z</dcterms:modified>
</cp:coreProperties>
</file>