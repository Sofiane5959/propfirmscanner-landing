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onditions" sheetId="11" state="visible" r:id="rId11"/>
    <sheet name="Parcours" sheetId="12" state="visible" r:id="rId12"/>
    <sheet name="Formation" sheetId="13" state="visible" r:id="rId13"/>
    <sheet name="ComptesApresReussite" sheetId="14" state="visible" r:id="rId14"/>
    <sheet name="Couts" sheetId="15" state="visible" r:id="rId15"/>
    <sheet name="Regles" sheetId="16" state="visible" r:id="rId16"/>
    <sheet name="Verdict" sheetId="17" state="visible" r:id="rId17"/>
    <sheet name="FAQ" sheetId="18" state="visible" r:id="rId18"/>
    <sheet name="Listes" sheetId="19" state="hidden" r:id="rId19"/>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futureselite</t>
        </is>
      </c>
      <c r="C2" s="17" t="inlineStr">
        <is>
          <t>futureselite</t>
        </is>
      </c>
      <c r="D2" s="18" t="inlineStr">
        <is>
          <t>N'est pas affiche : sert a l'adresse de la page et au lien sortant. Minuscules, sans espace. Obligatoire.</t>
        </is>
      </c>
    </row>
    <row r="3" ht="44" customHeight="1">
      <c r="A3" s="15" t="inlineStr">
        <is>
          <t>nom</t>
        </is>
      </c>
      <c r="B3" s="16" t="inlineStr">
        <is>
          <t>FuturesElite</t>
        </is>
      </c>
      <c r="C3" s="17" t="inlineStr">
        <is>
          <t>FuturesElite</t>
        </is>
      </c>
      <c r="D3" s="18" t="inlineStr">
        <is>
          <t>Le titre de la carte d'identite, « Continue to [Firm] », le verdict et la FAQ. Obligatoire.</t>
        </is>
      </c>
    </row>
    <row r="4" ht="44" customHeight="1">
      <c r="A4" s="15" t="inlineStr">
        <is>
          <t>logo_url</t>
        </is>
      </c>
      <c r="B4" s="16" t="inlineStr">
        <is>
          <t>https://cdn.prod.website-files.com/690a53b4dc85f8bf1d3328d4/690a53b4dc85f8bf1d332987_Webclip.svg</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v>4.7</v>
      </c>
      <c r="C5" s="20" t="n">
        <v>4.5</v>
      </c>
      <c r="D5" s="18" t="inlineStr">
        <is>
          <t>Hero, angle haut droit : note sur 5. Vide : le bloc Trustpilot n'apparait pas.</t>
        </is>
      </c>
    </row>
    <row r="6" ht="44" customHeight="1">
      <c r="A6" s="15" t="inlineStr">
        <is>
          <t>trustpilot_review_count</t>
        </is>
      </c>
      <c r="B6" s="21" t="n"/>
      <c r="C6" s="22" t="n">
        <v>1200</v>
      </c>
      <c r="D6" s="18" t="inlineStr">
        <is>
          <t>Nombre d'avis sous la note.</t>
        </is>
      </c>
    </row>
    <row r="7" ht="44" customHeight="1">
      <c r="A7" s="15" t="inlineStr">
        <is>
          <t>trustpilot_url</t>
        </is>
      </c>
      <c r="B7" s="16" t="inlineStr">
        <is>
          <t>https://www.trustpilot.com/review/futureselite.com</t>
        </is>
      </c>
      <c r="C7" s="17" t="inlineStr">
        <is>
          <t>https://www.trustpilot.com/review/exemple.com</t>
        </is>
      </c>
      <c r="D7" s="18" t="inlineStr">
        <is>
          <t>Page Trustpilot de la firme : le badge y renvoie. Vide : badge non cliquable.</t>
        </is>
      </c>
    </row>
    <row r="8" ht="44" customHeight="1">
      <c r="A8" s="15" t="inlineStr">
        <is>
          <t>marches</t>
        </is>
      </c>
      <c r="B8" s="16" t="inlineStr">
        <is>
          <t>futures</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Four routes to a funded futures account</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Compare Elite, Nitro, Prime and Instant to choose between a traditional evaluation, a faster route or funding from purchase. Each program has its own loss limits, consistency rules and payout conditions.</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inlineStr">
        <is>
          <t>FuturesElite sells simulated futures accounts across four programs. Elite, Nitro and Prime settle at a 90% profit split; Instant pays 80%.</t>
        </is>
      </c>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It suits futures traders who already have a method and want to choose the rule set that fits it, rather than accept one. Loss limits are dollar amounts rather than percentages, drawdown is calculated at the end of the day on the evaluation programs, and six platforms are selectable at purchase, including Tradovate, NinjaTrader and Quantower.
The caveat matters more than the pricing. Quantum SRL holds no financial regulator licence, and every account is simulated: performance is hypothetical throughout. The live trading program exists but is a risk-team decision, not an entitlement earned at a fixed number of payouts.</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2024</v>
      </c>
      <c r="C13" s="24" t="n">
        <v>2024</v>
      </c>
      <c r="D13" s="18" t="inlineStr">
        <is>
          <t>« Founded ». Vide : « — ».</t>
        </is>
      </c>
    </row>
    <row r="14" ht="44" customHeight="1">
      <c r="A14" s="15" t="inlineStr">
        <is>
          <t>pays</t>
        </is>
      </c>
      <c r="B14" s="16" t="inlineStr">
        <is>
          <t>Italy</t>
        </is>
      </c>
      <c r="C14" s="17" t="inlineStr">
        <is>
          <t>Italy</t>
        </is>
      </c>
      <c r="D14" s="18" t="inlineStr">
        <is>
          <t>« Country ».</t>
        </is>
      </c>
    </row>
    <row r="15" ht="44" customHeight="1">
      <c r="A15" s="15" t="inlineStr">
        <is>
          <t>ceo_fondateur</t>
        </is>
      </c>
      <c r="B15" s="16" t="inlineStr">
        <is>
          <t>Christian Habibi</t>
        </is>
      </c>
      <c r="C15" s="17" t="inlineStr">
        <is>
          <t>Christian Habibi</t>
        </is>
      </c>
      <c r="D15" s="18" t="inlineStr">
        <is>
          <t>« CEO / Founder ». Vide : « — ».</t>
        </is>
      </c>
    </row>
    <row r="16" ht="44" customHeight="1">
      <c r="A16" s="15" t="inlineStr">
        <is>
          <t>actifs</t>
        </is>
      </c>
      <c r="B16" s="16" t="inlineStr">
        <is>
          <t>Futures, Forex, Metals, Indices, Energy, Crypto, Bonds, Agricultural Products</t>
        </is>
      </c>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n"/>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needs_confirmation</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inlineStr">
        <is>
          <t>Tradovate, NinjaTrader, Quantower, ATAS, WealthCharts, DeepChart, Volumetrica, DeepCharts</t>
        </is>
      </c>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inlineStr">
        <is>
          <t>Credit/Debit Card, Crypto</t>
        </is>
      </c>
      <c r="C20" s="17" t="inlineStr">
        <is>
          <t>Credit/Debit Card, Crypto</t>
        </is>
      </c>
      <c r="D20" s="18" t="inlineStr">
        <is>
          <t>« Purchase methods » : moyens de paiement A L'ACHAT, separes par des virgules.</t>
        </is>
      </c>
    </row>
    <row r="21" ht="44" customHeight="1">
      <c r="A21" s="15" t="inlineStr">
        <is>
          <t>methodes_retrait</t>
        </is>
      </c>
      <c r="B21" s="16" t="inlineStr">
        <is>
          <t>Crypto, Riseworks</t>
        </is>
      </c>
      <c r="C21" s="17" t="inlineStr">
        <is>
          <t>Crypto, Riseworks</t>
        </is>
      </c>
      <c r="D21" s="18" t="inlineStr">
        <is>
          <t>Carte PAYOUTS : methodes de RETRAIT, separees par des virgules.</t>
        </is>
      </c>
    </row>
    <row r="22" ht="44" customHeight="1">
      <c r="A22" s="15" t="inlineStr">
        <is>
          <t>prestataire_retrait</t>
        </is>
      </c>
      <c r="B22" s="16" t="inlineStr">
        <is>
          <t>Rise</t>
        </is>
      </c>
      <c r="C22" s="17" t="inlineStr">
        <is>
          <t>Rise</t>
        </is>
      </c>
      <c r="D22" s="18" t="inlineStr">
        <is>
          <t>Carte PAYOUTS : le prestataire qui paie les retraits.</t>
        </is>
      </c>
    </row>
    <row r="23" ht="44" customHeight="1">
      <c r="A23" s="15" t="inlineStr">
        <is>
          <t>levier</t>
        </is>
      </c>
      <c r="B23" s="16" t="inlineStr">
        <is>
          <t>N/A (futures contracts)</t>
        </is>
      </c>
      <c r="C23" s="17" t="inlineStr">
        <is>
          <t>N/A (futures contracts)</t>
        </is>
      </c>
      <c r="D23" s="18" t="inlineStr">
        <is>
          <t>« Trading profile » : « Leverage 1:X ». Vide : « Leverage — ».</t>
        </is>
      </c>
    </row>
    <row r="24" ht="44" customHeight="1">
      <c r="A24" s="15" t="inlineStr">
        <is>
          <t>levier_statut</t>
        </is>
      </c>
      <c r="B24" s="16" t="inlineStr">
        <is>
          <t>not_applicable</t>
        </is>
      </c>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n"/>
      <c r="C25" s="17" t="inlineStr">
        <is>
          <t>(vide — absent du releve)</t>
        </is>
      </c>
      <c r="D25" s="18" t="inlineStr">
        <is>
          <t>« Trading profile » : styles autorises (Swing…), separes par des virgules.</t>
        </is>
      </c>
    </row>
    <row r="26">
      <c r="A26" s="15" t="inlineStr">
        <is>
          <t>meta_description</t>
        </is>
      </c>
      <c r="B26" s="16" t="n"/>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3" t="n">
        <v>1</v>
      </c>
      <c r="B3" s="16" t="inlineStr">
        <is>
          <t>Four funding routes</t>
        </is>
      </c>
      <c r="C3" s="16" t="inlineStr">
        <is>
          <t>Evaluation, faster routes and instant funding.</t>
        </is>
      </c>
    </row>
    <row r="4">
      <c r="A4" s="23" t="n">
        <v>2</v>
      </c>
      <c r="B4" s="16" t="inlineStr">
        <is>
          <t>One-time fees</t>
        </is>
      </c>
      <c r="C4" s="16" t="inlineStr">
        <is>
          <t>No monthly evaluation subscription.</t>
        </is>
      </c>
    </row>
    <row r="5">
      <c r="A5" s="23" t="n">
        <v>3</v>
      </c>
      <c r="B5" s="16" t="inlineStr">
        <is>
          <t>No activation fee</t>
        </is>
      </c>
      <c r="C5" s="16" t="inlineStr">
        <is>
          <t>Applies across the four documented programs.</t>
        </is>
      </c>
    </row>
    <row r="6">
      <c r="A6" s="23" t="n">
        <v>4</v>
      </c>
      <c r="B6" s="16" t="inlineStr">
        <is>
          <t>Daily payout requests</t>
        </is>
      </c>
      <c r="C6" s="16" t="inlineStr">
        <is>
          <t>Once the selected program’s eligibility conditions are met.</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6" t="inlineStr">
        <is>
          <t>Tradovate</t>
        </is>
      </c>
      <c r="B3" s="16" t="inlineStr">
        <is>
          <t>oui</t>
        </is>
      </c>
      <c r="C3" s="16" t="n"/>
      <c r="D3" t="inlineStr">
        <is>
          <t>https://trader.tradovate.com/img/icons/iphone-retina.png</t>
        </is>
      </c>
    </row>
    <row r="4">
      <c r="A4" s="16" t="inlineStr">
        <is>
          <t>NinjaTrader</t>
        </is>
      </c>
      <c r="B4" s="16" t="inlineStr">
        <is>
          <t>oui</t>
        </is>
      </c>
      <c r="C4" s="16" t="inlineStr">
        <is>
          <t>Potential external licence cost in live trading.</t>
        </is>
      </c>
      <c r="D4" t="inlineStr">
        <is>
          <t>https://ninjatrader.com/assets/dist/images/favicons/apple-touch-icon.png</t>
        </is>
      </c>
    </row>
    <row r="5">
      <c r="A5" s="16" t="inlineStr">
        <is>
          <t>Quantower</t>
        </is>
      </c>
      <c r="B5" s="16" t="inlineStr">
        <is>
          <t>oui</t>
        </is>
      </c>
      <c r="C5" s="16" t="n"/>
      <c r="D5" t="inlineStr">
        <is>
          <t>https://www.quantower.com/favicon.ico</t>
        </is>
      </c>
    </row>
    <row r="6">
      <c r="A6" s="16" t="inlineStr">
        <is>
          <t>ATAS</t>
        </is>
      </c>
      <c r="B6" s="16" t="inlineStr">
        <is>
          <t>oui</t>
        </is>
      </c>
      <c r="C6" s="16" t="n"/>
      <c r="D6" t="inlineStr">
        <is>
          <t>https://atas.net/wp-content/uploads/2026/01/atas_icon-300x300.png</t>
        </is>
      </c>
    </row>
    <row r="7">
      <c r="A7" s="16" t="inlineStr">
        <is>
          <t>WealthCharts</t>
        </is>
      </c>
      <c r="B7" s="16" t="inlineStr">
        <is>
          <t>oui</t>
        </is>
      </c>
      <c r="C7" s="16" t="n"/>
      <c r="D7" t="inlineStr">
        <is>
          <t>https://www.wealthcharts.com/favicon.ico</t>
        </is>
      </c>
    </row>
    <row r="8">
      <c r="A8" s="16" t="inlineStr">
        <is>
          <t>DeepCharts</t>
        </is>
      </c>
      <c r="B8" s="16" t="inlineStr">
        <is>
          <t>oui</t>
        </is>
      </c>
      <c r="C8" s="16" t="inlineStr">
        <is>
          <t>Written DeepChart in the purchase configurator and DeepCharts® on the official homepage; one product. The dashboard provides credentials and a Dxfeed agreement flow.</t>
        </is>
      </c>
      <c r="D8" t="inlineStr">
        <is>
          <t>https://framerusercontent.com/images/AoZRfVkVLzahOuchkWO16EoZOo.png</t>
        </is>
      </c>
    </row>
    <row r="9">
      <c r="A9" s="16" t="inlineStr">
        <is>
          <t>Volumetrica</t>
        </is>
      </c>
      <c r="B9" s="16" t="inlineStr">
        <is>
          <t>non</t>
        </is>
      </c>
      <c r="C9" s="16" t="inlineStr">
        <is>
          <t>Listed on the official homepage but not exposed in the purchase configurator.</t>
        </is>
      </c>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6" t="inlineStr">
        <is>
          <t>elite</t>
        </is>
      </c>
      <c r="B3" s="16" t="inlineStr">
        <is>
          <t>Elite</t>
        </is>
      </c>
      <c r="C3" s="16" t="inlineStr">
        <is>
          <t>futures</t>
        </is>
      </c>
      <c r="D3" s="16" t="inlineStr">
        <is>
          <t>evaluation</t>
        </is>
      </c>
      <c r="E3" s="16" t="inlineStr">
        <is>
          <t>active</t>
        </is>
      </c>
      <c r="F3" s="16" t="inlineStr">
        <is>
          <t>One-step evaluation</t>
        </is>
      </c>
      <c r="G3" s="16" t="inlineStr">
        <is>
          <t>One-step evaluation, end-of-day drawdown and no daily loss limit.</t>
        </is>
      </c>
      <c r="H3" s="23" t="n">
        <v>5</v>
      </c>
      <c r="I3" s="16" t="inlineStr">
        <is>
          <t>confirmed</t>
        </is>
      </c>
      <c r="J3" s="16" t="inlineStr">
        <is>
          <t>Counts towards the shared cap of 5 funded accounts across Elite, Custom, Instant and Nitro.</t>
        </is>
      </c>
      <c r="K3" s="26">
        <f>IF(A3="","",COUNTIF(Plans!$A$3:$A$300,A3))</f>
        <v/>
      </c>
    </row>
    <row r="4">
      <c r="A4" s="16" t="inlineStr">
        <is>
          <t>nitro</t>
        </is>
      </c>
      <c r="B4" s="16" t="inlineStr">
        <is>
          <t>Nitro</t>
        </is>
      </c>
      <c r="C4" s="16" t="inlineStr">
        <is>
          <t>futures</t>
        </is>
      </c>
      <c r="D4" s="16" t="inlineStr">
        <is>
          <t>evaluation</t>
        </is>
      </c>
      <c r="E4" s="16" t="inlineStr">
        <is>
          <t>active</t>
        </is>
      </c>
      <c r="F4" s="16" t="inlineStr">
        <is>
          <t>Lowest minimum trading days</t>
        </is>
      </c>
      <c r="G4" s="16" t="inlineStr">
        <is>
          <t>One-step evaluation with the lowest minimum trading days. Once funded it switches to a trailing-equity drawdown with a buffer.</t>
        </is>
      </c>
      <c r="H4" s="23" t="n"/>
      <c r="I4" s="16" t="inlineStr">
        <is>
          <t>source_conflict</t>
        </is>
      </c>
      <c r="J4" s="16" t="inlineStr">
        <is>
          <t>The official FAQ states 3 active funded Nitro accounts; the purchase configurator displayed MAX 4 FUNDED.</t>
        </is>
      </c>
      <c r="K4" s="26">
        <f>IF(A4="","",COUNTIF(Plans!$A$3:$A$300,A4))</f>
        <v/>
      </c>
    </row>
    <row r="5">
      <c r="A5" s="16" t="inlineStr">
        <is>
          <t>prime</t>
        </is>
      </c>
      <c r="B5" s="16" t="inlineStr">
        <is>
          <t>Prime</t>
        </is>
      </c>
      <c r="C5" s="16" t="inlineStr">
        <is>
          <t>futures</t>
        </is>
      </c>
      <c r="D5" s="16" t="inlineStr">
        <is>
          <t>evaluation</t>
        </is>
      </c>
      <c r="E5" s="16" t="inlineStr">
        <is>
          <t>active</t>
        </is>
      </c>
      <c r="F5" s="16" t="inlineStr">
        <is>
          <t>Up to 10 funded accounts</t>
        </is>
      </c>
      <c r="G5" s="16" t="inlineStr">
        <is>
          <t>The only program with a daily loss limit in both phases. It also carries the longest bundle ladder, up to ten accounts.</t>
        </is>
      </c>
      <c r="H5" s="23" t="n">
        <v>10</v>
      </c>
      <c r="I5" s="16" t="inlineStr">
        <is>
          <t>confirmed</t>
        </is>
      </c>
      <c r="J5" s="16" t="inlineStr">
        <is>
          <t>Prime has its own cap: 10 active funded accounts.</t>
        </is>
      </c>
      <c r="K5" s="26">
        <f>IF(A5="","",COUNTIF(Plans!$A$3:$A$300,A5))</f>
        <v/>
      </c>
    </row>
    <row r="6">
      <c r="A6" s="16" t="inlineStr">
        <is>
          <t>instant</t>
        </is>
      </c>
      <c r="B6" s="16" t="inlineStr">
        <is>
          <t>Instant</t>
        </is>
      </c>
      <c r="C6" s="16" t="inlineStr">
        <is>
          <t>futures</t>
        </is>
      </c>
      <c r="D6" s="16" t="inlineStr">
        <is>
          <t>instant</t>
        </is>
      </c>
      <c r="E6" s="16" t="inlineStr">
        <is>
          <t>active</t>
        </is>
      </c>
      <c r="F6" s="16" t="inlineStr">
        <is>
          <t>Live from purchase</t>
        </is>
      </c>
      <c r="G6" s="16" t="inlineStr">
        <is>
          <t>No evaluation: the account is live from purchase. Payout eligibility still requires 10 trading days and a 20% consistency rule.</t>
        </is>
      </c>
      <c r="H6" s="23" t="n">
        <v>5</v>
      </c>
      <c r="I6" s="16" t="inlineStr">
        <is>
          <t>confirmed</t>
        </is>
      </c>
      <c r="J6" s="16" t="inlineStr">
        <is>
          <t>Counts towards the shared cap of 5 funded accounts across Elite, Custom, Instant and Nitro.</t>
        </is>
      </c>
      <c r="K6" s="26">
        <f>IF(A6="","",COUNTIF(Plans!$A$3:$A$300,A6))</f>
        <v/>
      </c>
    </row>
    <row r="7">
      <c r="A7" s="16" t="n"/>
      <c r="B7" s="16" t="n"/>
      <c r="C7" s="16" t="n"/>
      <c r="D7" s="16" t="n"/>
      <c r="E7" s="16" t="n"/>
      <c r="F7" s="16" t="n"/>
      <c r="G7" s="16" t="n"/>
      <c r="H7" s="23" t="n"/>
      <c r="I7" s="16" t="n"/>
      <c r="J7" s="16" t="n"/>
      <c r="K7" s="26">
        <f>IF(A7="","",COUNTIF(Plans!$A$3:$A$300,A7))</f>
        <v/>
      </c>
    </row>
    <row r="8">
      <c r="A8" s="16" t="n"/>
      <c r="B8" s="16" t="n"/>
      <c r="C8" s="16" t="n"/>
      <c r="D8" s="16" t="n"/>
      <c r="E8" s="16" t="n"/>
      <c r="F8" s="16" t="n"/>
      <c r="G8" s="16" t="n"/>
      <c r="H8" s="23" t="n"/>
      <c r="I8" s="16" t="n"/>
      <c r="J8" s="16" t="n"/>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6" t="inlineStr">
        <is>
          <t>elite</t>
        </is>
      </c>
      <c r="B3" s="21" t="n">
        <v>25000</v>
      </c>
      <c r="C3" s="16" t="n"/>
      <c r="D3" s="16" t="inlineStr">
        <is>
          <t>USD</t>
        </is>
      </c>
      <c r="E3" s="29" t="n">
        <v>95</v>
      </c>
      <c r="F3" s="16" t="n"/>
      <c r="G3" s="16" t="inlineStr">
        <is>
          <t>one_time</t>
        </is>
      </c>
      <c r="H3" s="16" t="n"/>
      <c r="I3" s="29" t="n">
        <v>79</v>
      </c>
      <c r="J3" s="29" t="n">
        <v>0</v>
      </c>
      <c r="K3" s="26">
        <f>IF(A3="","",SUMPRODUCT((Phases!$A$3:$A$900=A3)*(Phases!$B$3:$B$900=B3)*(Phases!$C$3:$C$900=C3)))</f>
        <v/>
      </c>
      <c r="L3" s="28">
        <f>IF(A3="","",IF(COUNTIF(Programmes!$A$3:$A$60,A3)=0,"programme inconnu",IF(K3=0,"aucune phase","ok")))</f>
        <v/>
      </c>
    </row>
    <row r="4">
      <c r="A4" s="16" t="inlineStr">
        <is>
          <t>elite</t>
        </is>
      </c>
      <c r="B4" s="21" t="n">
        <v>50000</v>
      </c>
      <c r="C4" s="16" t="n"/>
      <c r="D4" s="16" t="inlineStr">
        <is>
          <t>USD</t>
        </is>
      </c>
      <c r="E4" s="29" t="n">
        <v>153</v>
      </c>
      <c r="F4" s="16" t="n"/>
      <c r="G4" s="16" t="inlineStr">
        <is>
          <t>one_time</t>
        </is>
      </c>
      <c r="H4" s="16" t="n"/>
      <c r="I4" s="29" t="n">
        <v>89</v>
      </c>
      <c r="J4" s="29" t="n">
        <v>0</v>
      </c>
      <c r="K4" s="26">
        <f>IF(A4="","",SUMPRODUCT((Phases!$A$3:$A$900=A4)*(Phases!$B$3:$B$900=B4)*(Phases!$C$3:$C$900=C4)))</f>
        <v/>
      </c>
      <c r="L4" s="28">
        <f>IF(A4="","",IF(COUNTIF(Programmes!$A$3:$A$60,A4)=0,"programme inconnu",IF(K4=0,"aucune phase","ok")))</f>
        <v/>
      </c>
    </row>
    <row r="5">
      <c r="A5" s="16" t="inlineStr">
        <is>
          <t>elite</t>
        </is>
      </c>
      <c r="B5" s="21" t="n">
        <v>100000</v>
      </c>
      <c r="C5" s="16" t="n"/>
      <c r="D5" s="16" t="inlineStr">
        <is>
          <t>USD</t>
        </is>
      </c>
      <c r="E5" s="29" t="n">
        <v>293</v>
      </c>
      <c r="F5" s="16" t="inlineStr">
        <is>
          <t>oui</t>
        </is>
      </c>
      <c r="G5" s="16" t="inlineStr">
        <is>
          <t>one_time</t>
        </is>
      </c>
      <c r="H5" s="16" t="n"/>
      <c r="I5" s="29" t="n">
        <v>159</v>
      </c>
      <c r="J5" s="29" t="n">
        <v>0</v>
      </c>
      <c r="K5" s="26">
        <f>IF(A5="","",SUMPRODUCT((Phases!$A$3:$A$900=A5)*(Phases!$B$3:$B$900=B5)*(Phases!$C$3:$C$900=C5)))</f>
        <v/>
      </c>
      <c r="L5" s="28">
        <f>IF(A5="","",IF(COUNTIF(Programmes!$A$3:$A$60,A5)=0,"programme inconnu",IF(K5=0,"aucune phase","ok")))</f>
        <v/>
      </c>
    </row>
    <row r="6">
      <c r="A6" s="16" t="inlineStr">
        <is>
          <t>elite</t>
        </is>
      </c>
      <c r="B6" s="21" t="n">
        <v>150000</v>
      </c>
      <c r="C6" s="16" t="n"/>
      <c r="D6" s="16" t="inlineStr">
        <is>
          <t>USD</t>
        </is>
      </c>
      <c r="E6" s="29" t="n">
        <v>353</v>
      </c>
      <c r="F6" s="16" t="n"/>
      <c r="G6" s="16" t="inlineStr">
        <is>
          <t>one_time</t>
        </is>
      </c>
      <c r="H6" s="16" t="n"/>
      <c r="I6" s="29" t="n">
        <v>229</v>
      </c>
      <c r="J6" s="29" t="n">
        <v>0</v>
      </c>
      <c r="K6" s="26">
        <f>IF(A6="","",SUMPRODUCT((Phases!$A$3:$A$900=A6)*(Phases!$B$3:$B$900=B6)*(Phases!$C$3:$C$900=C6)))</f>
        <v/>
      </c>
      <c r="L6" s="28">
        <f>IF(A6="","",IF(COUNTIF(Programmes!$A$3:$A$60,A6)=0,"programme inconnu",IF(K6=0,"aucune phase","ok")))</f>
        <v/>
      </c>
    </row>
    <row r="7">
      <c r="A7" s="16" t="inlineStr">
        <is>
          <t>nitro</t>
        </is>
      </c>
      <c r="B7" s="21" t="n">
        <v>25000</v>
      </c>
      <c r="C7" s="16" t="n"/>
      <c r="D7" s="16" t="inlineStr">
        <is>
          <t>USD</t>
        </is>
      </c>
      <c r="E7" s="29" t="n">
        <v>129</v>
      </c>
      <c r="F7" s="16" t="n"/>
      <c r="G7" s="16" t="inlineStr">
        <is>
          <t>one_time</t>
        </is>
      </c>
      <c r="H7" s="16" t="n"/>
      <c r="I7" s="29" t="n">
        <v>89</v>
      </c>
      <c r="J7" s="29" t="n">
        <v>0</v>
      </c>
      <c r="K7" s="26">
        <f>IF(A7="","",SUMPRODUCT((Phases!$A$3:$A$900=A7)*(Phases!$B$3:$B$900=B7)*(Phases!$C$3:$C$900=C7)))</f>
        <v/>
      </c>
      <c r="L7" s="28">
        <f>IF(A7="","",IF(COUNTIF(Programmes!$A$3:$A$60,A7)=0,"programme inconnu",IF(K7=0,"aucune phase","ok")))</f>
        <v/>
      </c>
    </row>
    <row r="8">
      <c r="A8" s="16" t="inlineStr">
        <is>
          <t>nitro</t>
        </is>
      </c>
      <c r="B8" s="21" t="n">
        <v>50000</v>
      </c>
      <c r="C8" s="16" t="n"/>
      <c r="D8" s="16" t="inlineStr">
        <is>
          <t>USD</t>
        </is>
      </c>
      <c r="E8" s="29" t="n">
        <v>138</v>
      </c>
      <c r="F8" s="16" t="n"/>
      <c r="G8" s="16" t="inlineStr">
        <is>
          <t>one_time</t>
        </is>
      </c>
      <c r="H8" s="16" t="n"/>
      <c r="I8" s="29" t="n">
        <v>99</v>
      </c>
      <c r="J8" s="29" t="n">
        <v>0</v>
      </c>
      <c r="K8" s="26">
        <f>IF(A8="","",SUMPRODUCT((Phases!$A$3:$A$900=A8)*(Phases!$B$3:$B$900=B8)*(Phases!$C$3:$C$900=C8)))</f>
        <v/>
      </c>
      <c r="L8" s="28">
        <f>IF(A8="","",IF(COUNTIF(Programmes!$A$3:$A$60,A8)=0,"programme inconnu",IF(K8=0,"aucune phase","ok")))</f>
        <v/>
      </c>
    </row>
    <row r="9">
      <c r="A9" s="16" t="inlineStr">
        <is>
          <t>nitro</t>
        </is>
      </c>
      <c r="B9" s="21" t="n">
        <v>100000</v>
      </c>
      <c r="C9" s="16" t="n"/>
      <c r="D9" s="16" t="inlineStr">
        <is>
          <t>USD</t>
        </is>
      </c>
      <c r="E9" s="29" t="n">
        <v>218</v>
      </c>
      <c r="F9" s="16" t="n"/>
      <c r="G9" s="16" t="inlineStr">
        <is>
          <t>one_time</t>
        </is>
      </c>
      <c r="H9" s="16" t="n"/>
      <c r="I9" s="29" t="n">
        <v>149</v>
      </c>
      <c r="J9" s="29" t="n">
        <v>0</v>
      </c>
      <c r="K9" s="26">
        <f>IF(A9="","",SUMPRODUCT((Phases!$A$3:$A$900=A9)*(Phases!$B$3:$B$900=B9)*(Phases!$C$3:$C$900=C9)))</f>
        <v/>
      </c>
      <c r="L9" s="28">
        <f>IF(A9="","",IF(COUNTIF(Programmes!$A$3:$A$60,A9)=0,"programme inconnu",IF(K9=0,"aucune phase","ok")))</f>
        <v/>
      </c>
    </row>
    <row r="10">
      <c r="A10" s="16" t="inlineStr">
        <is>
          <t>nitro</t>
        </is>
      </c>
      <c r="B10" s="21" t="n">
        <v>150000</v>
      </c>
      <c r="C10" s="16" t="n"/>
      <c r="D10" s="16" t="inlineStr">
        <is>
          <t>USD</t>
        </is>
      </c>
      <c r="E10" s="29" t="n">
        <v>298</v>
      </c>
      <c r="F10" s="16" t="n"/>
      <c r="G10" s="16" t="inlineStr">
        <is>
          <t>one_time</t>
        </is>
      </c>
      <c r="H10" s="16" t="n"/>
      <c r="I10" s="29" t="n">
        <v>219</v>
      </c>
      <c r="J10" s="29" t="n">
        <v>0</v>
      </c>
      <c r="K10" s="26">
        <f>IF(A10="","",SUMPRODUCT((Phases!$A$3:$A$900=A10)*(Phases!$B$3:$B$900=B10)*(Phases!$C$3:$C$900=C10)))</f>
        <v/>
      </c>
      <c r="L10" s="28">
        <f>IF(A10="","",IF(COUNTIF(Programmes!$A$3:$A$60,A10)=0,"programme inconnu",IF(K10=0,"aucune phase","ok")))</f>
        <v/>
      </c>
    </row>
    <row r="11">
      <c r="A11" s="16" t="inlineStr">
        <is>
          <t>prime</t>
        </is>
      </c>
      <c r="B11" s="21" t="n">
        <v>25000</v>
      </c>
      <c r="C11" s="16" t="n"/>
      <c r="D11" s="16" t="inlineStr">
        <is>
          <t>USD</t>
        </is>
      </c>
      <c r="E11" s="29" t="n">
        <v>96</v>
      </c>
      <c r="F11" s="16" t="n"/>
      <c r="G11" s="16" t="inlineStr">
        <is>
          <t>one_time</t>
        </is>
      </c>
      <c r="H11" s="16" t="n"/>
      <c r="I11" s="29" t="n">
        <v>89</v>
      </c>
      <c r="J11" s="29" t="n">
        <v>0</v>
      </c>
      <c r="K11" s="26">
        <f>IF(A11="","",SUMPRODUCT((Phases!$A$3:$A$900=A11)*(Phases!$B$3:$B$900=B11)*(Phases!$C$3:$C$900=C11)))</f>
        <v/>
      </c>
      <c r="L11" s="28">
        <f>IF(A11="","",IF(COUNTIF(Programmes!$A$3:$A$60,A11)=0,"programme inconnu",IF(K11=0,"aucune phase","ok")))</f>
        <v/>
      </c>
    </row>
    <row r="12">
      <c r="A12" s="16" t="inlineStr">
        <is>
          <t>prime</t>
        </is>
      </c>
      <c r="B12" s="21" t="n">
        <v>50000</v>
      </c>
      <c r="C12" s="16" t="n"/>
      <c r="D12" s="16" t="inlineStr">
        <is>
          <t>USD</t>
        </is>
      </c>
      <c r="E12" s="29" t="n">
        <v>179</v>
      </c>
      <c r="F12" s="16" t="n"/>
      <c r="G12" s="16" t="inlineStr">
        <is>
          <t>one_time</t>
        </is>
      </c>
      <c r="H12" s="16" t="n"/>
      <c r="I12" s="29" t="n">
        <v>109</v>
      </c>
      <c r="J12" s="29" t="n">
        <v>0</v>
      </c>
      <c r="K12" s="26">
        <f>IF(A12="","",SUMPRODUCT((Phases!$A$3:$A$900=A12)*(Phases!$B$3:$B$900=B12)*(Phases!$C$3:$C$900=C12)))</f>
        <v/>
      </c>
      <c r="L12" s="28">
        <f>IF(A12="","",IF(COUNTIF(Programmes!$A$3:$A$60,A12)=0,"programme inconnu",IF(K12=0,"aucune phase","ok")))</f>
        <v/>
      </c>
    </row>
    <row r="13">
      <c r="A13" s="16" t="inlineStr">
        <is>
          <t>prime</t>
        </is>
      </c>
      <c r="B13" s="21" t="n">
        <v>100000</v>
      </c>
      <c r="C13" s="16" t="n"/>
      <c r="D13" s="16" t="inlineStr">
        <is>
          <t>USD</t>
        </is>
      </c>
      <c r="E13" s="29" t="n">
        <v>279</v>
      </c>
      <c r="F13" s="16" t="n"/>
      <c r="G13" s="16" t="inlineStr">
        <is>
          <t>one_time</t>
        </is>
      </c>
      <c r="H13" s="16" t="n"/>
      <c r="I13" s="29" t="n">
        <v>159</v>
      </c>
      <c r="J13" s="29" t="n">
        <v>0</v>
      </c>
      <c r="K13" s="26">
        <f>IF(A13="","",SUMPRODUCT((Phases!$A$3:$A$900=A13)*(Phases!$B$3:$B$900=B13)*(Phases!$C$3:$C$900=C13)))</f>
        <v/>
      </c>
      <c r="L13" s="28">
        <f>IF(A13="","",IF(COUNTIF(Programmes!$A$3:$A$60,A13)=0,"programme inconnu",IF(K13=0,"aucune phase","ok")))</f>
        <v/>
      </c>
    </row>
    <row r="14">
      <c r="A14" s="16" t="inlineStr">
        <is>
          <t>prime</t>
        </is>
      </c>
      <c r="B14" s="21" t="n">
        <v>150000</v>
      </c>
      <c r="C14" s="16" t="n"/>
      <c r="D14" s="16" t="inlineStr">
        <is>
          <t>USD</t>
        </is>
      </c>
      <c r="E14" s="29" t="n">
        <v>369</v>
      </c>
      <c r="F14" s="16" t="n"/>
      <c r="G14" s="16" t="inlineStr">
        <is>
          <t>one_time</t>
        </is>
      </c>
      <c r="H14" s="16" t="n"/>
      <c r="I14" s="29" t="n">
        <v>209</v>
      </c>
      <c r="J14" s="29" t="n">
        <v>0</v>
      </c>
      <c r="K14" s="26">
        <f>IF(A14="","",SUMPRODUCT((Phases!$A$3:$A$900=A14)*(Phases!$B$3:$B$900=B14)*(Phases!$C$3:$C$900=C14)))</f>
        <v/>
      </c>
      <c r="L14" s="28">
        <f>IF(A14="","",IF(COUNTIF(Programmes!$A$3:$A$60,A14)=0,"programme inconnu",IF(K14=0,"aucune phase","ok")))</f>
        <v/>
      </c>
    </row>
    <row r="15">
      <c r="A15" s="16" t="inlineStr">
        <is>
          <t>instant</t>
        </is>
      </c>
      <c r="B15" s="21" t="n">
        <v>50000</v>
      </c>
      <c r="C15" s="16" t="n"/>
      <c r="D15" s="16" t="inlineStr">
        <is>
          <t>USD</t>
        </is>
      </c>
      <c r="E15" s="29" t="n">
        <v>349</v>
      </c>
      <c r="F15" s="16" t="n"/>
      <c r="G15" s="16" t="inlineStr">
        <is>
          <t>one_time</t>
        </is>
      </c>
      <c r="H15" s="16" t="n"/>
      <c r="I15" s="29" t="n"/>
      <c r="J15" s="29" t="n">
        <v>0</v>
      </c>
      <c r="K15" s="26">
        <f>IF(A15="","",SUMPRODUCT((Phases!$A$3:$A$900=A15)*(Phases!$B$3:$B$900=B15)*(Phases!$C$3:$C$900=C15)))</f>
        <v/>
      </c>
      <c r="L15" s="28">
        <f>IF(A15="","",IF(COUNTIF(Programmes!$A$3:$A$60,A15)=0,"programme inconnu",IF(K15=0,"aucune phase","ok")))</f>
        <v/>
      </c>
    </row>
    <row r="16">
      <c r="A16" s="16" t="inlineStr">
        <is>
          <t>instant</t>
        </is>
      </c>
      <c r="B16" s="21" t="n">
        <v>100000</v>
      </c>
      <c r="C16" s="16" t="n"/>
      <c r="D16" s="16" t="inlineStr">
        <is>
          <t>USD</t>
        </is>
      </c>
      <c r="E16" s="29" t="n">
        <v>469</v>
      </c>
      <c r="F16" s="16" t="n"/>
      <c r="G16" s="16" t="inlineStr">
        <is>
          <t>one_time</t>
        </is>
      </c>
      <c r="H16" s="16" t="n"/>
      <c r="I16" s="29" t="n"/>
      <c r="J16" s="29" t="n">
        <v>0</v>
      </c>
      <c r="K16" s="26">
        <f>IF(A16="","",SUMPRODUCT((Phases!$A$3:$A$900=A16)*(Phases!$B$3:$B$900=B16)*(Phases!$C$3:$C$900=C16)))</f>
        <v/>
      </c>
      <c r="L16" s="28">
        <f>IF(A16="","",IF(COUNTIF(Programmes!$A$3:$A$60,A16)=0,"programme inconnu",IF(K16=0,"aucune phase","ok")))</f>
        <v/>
      </c>
    </row>
    <row r="17">
      <c r="A17" s="16" t="inlineStr">
        <is>
          <t>instant</t>
        </is>
      </c>
      <c r="B17" s="21" t="n">
        <v>150000</v>
      </c>
      <c r="C17" s="16" t="n"/>
      <c r="D17" s="16" t="inlineStr">
        <is>
          <t>USD</t>
        </is>
      </c>
      <c r="E17" s="29" t="n">
        <v>569</v>
      </c>
      <c r="F17" s="16" t="n"/>
      <c r="G17" s="16" t="inlineStr">
        <is>
          <t>one_time</t>
        </is>
      </c>
      <c r="H17" s="16" t="n"/>
      <c r="I17" s="29" t="n"/>
      <c r="J17" s="29" t="n">
        <v>0</v>
      </c>
      <c r="K17" s="26">
        <f>IF(A17="","",SUMPRODUCT((Phases!$A$3:$A$900=A17)*(Phases!$B$3:$B$900=B17)*(Phases!$C$3:$C$900=C17)))</f>
        <v/>
      </c>
      <c r="L17" s="28">
        <f>IF(A17="","",IF(COUNTIF(Programmes!$A$3:$A$60,A17)=0,"programme inconnu",IF(K17=0,"aucune phase","ok")))</f>
        <v/>
      </c>
    </row>
    <row r="18">
      <c r="A18" s="16" t="n"/>
      <c r="B18" s="21" t="n"/>
      <c r="C18" s="16" t="n"/>
      <c r="D18" s="16" t="n"/>
      <c r="E18" s="29" t="n"/>
      <c r="F18" s="16" t="n"/>
      <c r="G18" s="16" t="n"/>
      <c r="H18" s="16" t="n"/>
      <c r="I18" s="29" t="n"/>
      <c r="J18" s="29" t="n"/>
      <c r="K18" s="26">
        <f>IF(A18="","",SUMPRODUCT((Phases!$A$3:$A$900=A18)*(Phases!$B$3:$B$900=B18)*(Phases!$C$3:$C$900=C18)))</f>
        <v/>
      </c>
      <c r="L18" s="28">
        <f>IF(A18="","",IF(COUNTIF(Programmes!$A$3:$A$60,A18)=0,"programme inconnu",IF(K18=0,"aucune phase","ok")))</f>
        <v/>
      </c>
    </row>
    <row r="19">
      <c r="A19" s="16" t="n"/>
      <c r="B19" s="21" t="n"/>
      <c r="C19" s="16" t="n"/>
      <c r="D19" s="16" t="n"/>
      <c r="E19" s="29" t="n"/>
      <c r="F19" s="16" t="n"/>
      <c r="G19" s="16" t="n"/>
      <c r="H19" s="16" t="n"/>
      <c r="I19" s="29" t="n"/>
      <c r="J19" s="29" t="n"/>
      <c r="K19" s="26">
        <f>IF(A19="","",SUMPRODUCT((Phases!$A$3:$A$900=A19)*(Phases!$B$3:$B$900=B19)*(Phases!$C$3:$C$900=C19)))</f>
        <v/>
      </c>
      <c r="L19" s="28">
        <f>IF(A19="","",IF(COUNTIF(Programmes!$A$3:$A$60,A19)=0,"programme inconnu",IF(K19=0,"aucune phase","ok")))</f>
        <v/>
      </c>
    </row>
    <row r="20">
      <c r="A20" s="16" t="n"/>
      <c r="B20" s="21" t="n"/>
      <c r="C20" s="16" t="n"/>
      <c r="D20" s="16" t="n"/>
      <c r="E20" s="29" t="n"/>
      <c r="F20" s="16" t="n"/>
      <c r="G20" s="16" t="n"/>
      <c r="H20" s="16" t="n"/>
      <c r="I20" s="29" t="n"/>
      <c r="J20" s="29" t="n"/>
      <c r="K20" s="26">
        <f>IF(A20="","",SUMPRODUCT((Phases!$A$3:$A$900=A20)*(Phases!$B$3:$B$900=B20)*(Phases!$C$3:$C$900=C20)))</f>
        <v/>
      </c>
      <c r="L20" s="28">
        <f>IF(A20="","",IF(COUNTIF(Programmes!$A$3:$A$60,A20)=0,"programme inconnu",IF(K20=0,"aucune phase","ok")))</f>
        <v/>
      </c>
    </row>
    <row r="21">
      <c r="A21" s="16" t="n"/>
      <c r="B21" s="21" t="n"/>
      <c r="C21" s="16" t="n"/>
      <c r="D21" s="16" t="n"/>
      <c r="E21" s="29" t="n"/>
      <c r="F21" s="16" t="n"/>
      <c r="G21" s="16" t="n"/>
      <c r="H21" s="16" t="n"/>
      <c r="I21" s="29" t="n"/>
      <c r="J21" s="29" t="n"/>
      <c r="K21" s="26">
        <f>IF(A21="","",SUMPRODUCT((Phases!$A$3:$A$900=A21)*(Phases!$B$3:$B$900=B21)*(Phases!$C$3:$C$900=C21)))</f>
        <v/>
      </c>
      <c r="L21" s="28">
        <f>IF(A21="","",IF(COUNTIF(Programmes!$A$3:$A$60,A21)=0,"programme inconnu",IF(K21=0,"aucune phase","ok")))</f>
        <v/>
      </c>
    </row>
    <row r="22">
      <c r="A22" s="16" t="n"/>
      <c r="B22" s="21" t="n"/>
      <c r="C22" s="16" t="n"/>
      <c r="D22" s="16" t="n"/>
      <c r="E22" s="29" t="n"/>
      <c r="F22" s="16" t="n"/>
      <c r="G22" s="16" t="n"/>
      <c r="H22" s="16" t="n"/>
      <c r="I22" s="29" t="n"/>
      <c r="J22" s="29" t="n"/>
      <c r="K22" s="26">
        <f>IF(A22="","",SUMPRODUCT((Phases!$A$3:$A$900=A22)*(Phases!$B$3:$B$900=B22)*(Phases!$C$3:$C$900=C22)))</f>
        <v/>
      </c>
      <c r="L22" s="28">
        <f>IF(A22="","",IF(COUNTIF(Programmes!$A$3:$A$60,A22)=0,"programme inconnu",IF(K22=0,"aucune phase","ok")))</f>
        <v/>
      </c>
    </row>
    <row r="23">
      <c r="A23" s="16" t="n"/>
      <c r="B23" s="21" t="n"/>
      <c r="C23" s="16" t="n"/>
      <c r="D23" s="16" t="n"/>
      <c r="E23" s="29" t="n"/>
      <c r="F23" s="16" t="n"/>
      <c r="G23" s="16" t="n"/>
      <c r="H23" s="16" t="n"/>
      <c r="I23" s="29" t="n"/>
      <c r="J23" s="29" t="n"/>
      <c r="K23" s="26">
        <f>IF(A23="","",SUMPRODUCT((Phases!$A$3:$A$900=A23)*(Phases!$B$3:$B$900=B23)*(Phases!$C$3:$C$900=C23)))</f>
        <v/>
      </c>
      <c r="L23" s="28">
        <f>IF(A23="","",IF(COUNTIF(Programmes!$A$3:$A$60,A23)=0,"programme inconnu",IF(K23=0,"aucune phase","ok")))</f>
        <v/>
      </c>
    </row>
    <row r="24">
      <c r="A24" s="16" t="n"/>
      <c r="B24" s="21" t="n"/>
      <c r="C24" s="16" t="n"/>
      <c r="D24" s="16" t="n"/>
      <c r="E24" s="29" t="n"/>
      <c r="F24" s="16" t="n"/>
      <c r="G24" s="16" t="n"/>
      <c r="H24" s="16" t="n"/>
      <c r="I24" s="29" t="n"/>
      <c r="J24" s="29" t="n"/>
      <c r="K24" s="26">
        <f>IF(A24="","",SUMPRODUCT((Phases!$A$3:$A$900=A24)*(Phases!$B$3:$B$900=B24)*(Phases!$C$3:$C$900=C24)))</f>
        <v/>
      </c>
      <c r="L24" s="28">
        <f>IF(A24="","",IF(COUNTIF(Programmes!$A$3:$A$60,A24)=0,"programme inconnu",IF(K24=0,"aucune phase","ok")))</f>
        <v/>
      </c>
    </row>
    <row r="25">
      <c r="A25" s="16" t="n"/>
      <c r="B25" s="21" t="n"/>
      <c r="C25" s="16" t="n"/>
      <c r="D25" s="16" t="n"/>
      <c r="E25" s="29" t="n"/>
      <c r="F25" s="16" t="n"/>
      <c r="G25" s="16" t="n"/>
      <c r="H25" s="16" t="n"/>
      <c r="I25" s="29" t="n"/>
      <c r="J25" s="29" t="n"/>
      <c r="K25" s="26">
        <f>IF(A25="","",SUMPRODUCT((Phases!$A$3:$A$900=A25)*(Phases!$B$3:$B$900=B25)*(Phases!$C$3:$C$900=C25)))</f>
        <v/>
      </c>
      <c r="L25" s="28">
        <f>IF(A25="","",IF(COUNTIF(Programmes!$A$3:$A$60,A25)=0,"programme inconnu",IF(K25=0,"aucune phase","ok")))</f>
        <v/>
      </c>
    </row>
    <row r="26">
      <c r="A26" s="16" t="n"/>
      <c r="B26" s="21" t="n"/>
      <c r="C26" s="16" t="n"/>
      <c r="D26" s="16" t="n"/>
      <c r="E26" s="29" t="n"/>
      <c r="F26" s="16" t="n"/>
      <c r="G26" s="16" t="n"/>
      <c r="H26" s="16" t="n"/>
      <c r="I26" s="29" t="n"/>
      <c r="J26" s="29" t="n"/>
      <c r="K26" s="26">
        <f>IF(A26="","",SUMPRODUCT((Phases!$A$3:$A$900=A26)*(Phases!$B$3:$B$900=B26)*(Phases!$C$3:$C$900=C26)))</f>
        <v/>
      </c>
      <c r="L26" s="28">
        <f>IF(A26="","",IF(COUNTIF(Programmes!$A$3:$A$60,A26)=0,"programme inconnu",IF(K26=0,"aucune phase","ok")))</f>
        <v/>
      </c>
    </row>
    <row r="27">
      <c r="A27" s="16" t="n"/>
      <c r="B27" s="21" t="n"/>
      <c r="C27" s="16" t="n"/>
      <c r="D27" s="16" t="n"/>
      <c r="E27" s="29" t="n"/>
      <c r="F27" s="16" t="n"/>
      <c r="G27" s="16" t="n"/>
      <c r="H27" s="16" t="n"/>
      <c r="I27" s="29" t="n"/>
      <c r="J27" s="29" t="n"/>
      <c r="K27" s="26">
        <f>IF(A27="","",SUMPRODUCT((Phases!$A$3:$A$900=A27)*(Phases!$B$3:$B$900=B27)*(Phases!$C$3:$C$900=C27)))</f>
        <v/>
      </c>
      <c r="L27" s="28">
        <f>IF(A27="","",IF(COUNTIF(Programmes!$A$3:$A$60,A27)=0,"programme inconnu",IF(K27=0,"aucune phase","ok")))</f>
        <v/>
      </c>
    </row>
    <row r="28">
      <c r="A28" s="16" t="n"/>
      <c r="B28" s="21" t="n"/>
      <c r="C28" s="16" t="n"/>
      <c r="D28" s="16" t="n"/>
      <c r="E28" s="29" t="n"/>
      <c r="F28" s="16" t="n"/>
      <c r="G28" s="16" t="n"/>
      <c r="H28" s="16" t="n"/>
      <c r="I28" s="29" t="n"/>
      <c r="J28" s="29" t="n"/>
      <c r="K28" s="26">
        <f>IF(A28="","",SUMPRODUCT((Phases!$A$3:$A$900=A28)*(Phases!$B$3:$B$900=B28)*(Phases!$C$3:$C$900=C28)))</f>
        <v/>
      </c>
      <c r="L28" s="28">
        <f>IF(A28="","",IF(COUNTIF(Programmes!$A$3:$A$60,A28)=0,"programme inconnu",IF(K28=0,"aucune phase","ok")))</f>
        <v/>
      </c>
    </row>
    <row r="29">
      <c r="A29" s="16" t="n"/>
      <c r="B29" s="21" t="n"/>
      <c r="C29" s="16" t="n"/>
      <c r="D29" s="16" t="n"/>
      <c r="E29" s="29" t="n"/>
      <c r="F29" s="16" t="n"/>
      <c r="G29" s="16" t="n"/>
      <c r="H29" s="16" t="n"/>
      <c r="I29" s="29" t="n"/>
      <c r="J29" s="29" t="n"/>
      <c r="K29" s="26">
        <f>IF(A29="","",SUMPRODUCT((Phases!$A$3:$A$900=A29)*(Phases!$B$3:$B$900=B29)*(Phases!$C$3:$C$900=C29)))</f>
        <v/>
      </c>
      <c r="L29" s="28">
        <f>IF(A29="","",IF(COUNTIF(Programmes!$A$3:$A$60,A29)=0,"programme inconnu",IF(K29=0,"aucune phase","ok")))</f>
        <v/>
      </c>
    </row>
    <row r="30">
      <c r="A30" s="16" t="n"/>
      <c r="B30" s="21" t="n"/>
      <c r="C30" s="16" t="n"/>
      <c r="D30" s="16" t="n"/>
      <c r="E30" s="29" t="n"/>
      <c r="F30" s="16" t="n"/>
      <c r="G30" s="16" t="n"/>
      <c r="H30" s="16" t="n"/>
      <c r="I30" s="29" t="n"/>
      <c r="J30" s="29" t="n"/>
      <c r="K30" s="26">
        <f>IF(A30="","",SUMPRODUCT((Phases!$A$3:$A$900=A30)*(Phases!$B$3:$B$900=B30)*(Phases!$C$3:$C$900=C30)))</f>
        <v/>
      </c>
      <c r="L30" s="28">
        <f>IF(A30="","",IF(COUNTIF(Programmes!$A$3:$A$60,A30)=0,"programme inconnu",IF(K30=0,"aucune phase","ok")))</f>
        <v/>
      </c>
    </row>
    <row r="31">
      <c r="A31" s="16" t="n"/>
      <c r="B31" s="21" t="n"/>
      <c r="C31" s="16" t="n"/>
      <c r="D31" s="16" t="n"/>
      <c r="E31" s="29" t="n"/>
      <c r="F31" s="16" t="n"/>
      <c r="G31" s="16" t="n"/>
      <c r="H31" s="16" t="n"/>
      <c r="I31" s="29" t="n"/>
      <c r="J31" s="29" t="n"/>
      <c r="K31" s="26">
        <f>IF(A31="","",SUMPRODUCT((Phases!$A$3:$A$900=A31)*(Phases!$B$3:$B$900=B31)*(Phases!$C$3:$C$900=C31)))</f>
        <v/>
      </c>
      <c r="L31" s="28">
        <f>IF(A31="","",IF(COUNTIF(Programmes!$A$3:$A$60,A31)=0,"programme inconnu",IF(K31=0,"aucune phase","ok")))</f>
        <v/>
      </c>
    </row>
    <row r="32">
      <c r="A32" s="16" t="n"/>
      <c r="B32" s="21" t="n"/>
      <c r="C32" s="16" t="n"/>
      <c r="D32" s="16" t="n"/>
      <c r="E32" s="29" t="n"/>
      <c r="F32" s="16" t="n"/>
      <c r="G32" s="16" t="n"/>
      <c r="H32" s="16" t="n"/>
      <c r="I32" s="29" t="n"/>
      <c r="J32" s="29" t="n"/>
      <c r="K32" s="26">
        <f>IF(A32="","",SUMPRODUCT((Phases!$A$3:$A$900=A32)*(Phases!$B$3:$B$900=B32)*(Phases!$C$3:$C$900=C32)))</f>
        <v/>
      </c>
      <c r="L32" s="28">
        <f>IF(A32="","",IF(COUNTIF(Programmes!$A$3:$A$60,A32)=0,"programme inconnu",IF(K32=0,"aucune phase","ok")))</f>
        <v/>
      </c>
    </row>
    <row r="33">
      <c r="A33" s="16" t="n"/>
      <c r="B33" s="21" t="n"/>
      <c r="C33" s="16" t="n"/>
      <c r="D33" s="16" t="n"/>
      <c r="E33" s="29" t="n"/>
      <c r="F33" s="16" t="n"/>
      <c r="G33" s="16" t="n"/>
      <c r="H33" s="16" t="n"/>
      <c r="I33" s="29" t="n"/>
      <c r="J33" s="29" t="n"/>
      <c r="K33" s="26">
        <f>IF(A33="","",SUMPRODUCT((Phases!$A$3:$A$900=A33)*(Phases!$B$3:$B$900=B33)*(Phases!$C$3:$C$900=C33)))</f>
        <v/>
      </c>
      <c r="L33" s="28">
        <f>IF(A33="","",IF(COUNTIF(Programmes!$A$3:$A$60,A33)=0,"programme inconnu",IF(K33=0,"aucune phase","ok")))</f>
        <v/>
      </c>
    </row>
    <row r="34">
      <c r="A34" s="16" t="n"/>
      <c r="B34" s="21" t="n"/>
      <c r="C34" s="16" t="n"/>
      <c r="D34" s="16" t="n"/>
      <c r="E34" s="29" t="n"/>
      <c r="F34" s="16" t="n"/>
      <c r="G34" s="16" t="n"/>
      <c r="H34" s="16" t="n"/>
      <c r="I34" s="29" t="n"/>
      <c r="J34" s="29" t="n"/>
      <c r="K34" s="26">
        <f>IF(A34="","",SUMPRODUCT((Phases!$A$3:$A$900=A34)*(Phases!$B$3:$B$900=B34)*(Phases!$C$3:$C$900=C34)))</f>
        <v/>
      </c>
      <c r="L34" s="28">
        <f>IF(A34="","",IF(COUNTIF(Programmes!$A$3:$A$60,A34)=0,"programme inconnu",IF(K34=0,"aucune phase","ok")))</f>
        <v/>
      </c>
    </row>
    <row r="35">
      <c r="A35" s="16" t="n"/>
      <c r="B35" s="21" t="n"/>
      <c r="C35" s="16" t="n"/>
      <c r="D35" s="16" t="n"/>
      <c r="E35" s="29" t="n"/>
      <c r="F35" s="16" t="n"/>
      <c r="G35" s="16" t="n"/>
      <c r="H35" s="16" t="n"/>
      <c r="I35" s="29" t="n"/>
      <c r="J35" s="29" t="n"/>
      <c r="K35" s="26">
        <f>IF(A35="","",SUMPRODUCT((Phases!$A$3:$A$900=A35)*(Phases!$B$3:$B$900=B35)*(Phases!$C$3:$C$900=C35)))</f>
        <v/>
      </c>
      <c r="L35" s="28">
        <f>IF(A35="","",IF(COUNTIF(Programmes!$A$3:$A$60,A35)=0,"programme inconnu",IF(K35=0,"aucune phase","ok")))</f>
        <v/>
      </c>
    </row>
    <row r="36">
      <c r="A36" s="16" t="n"/>
      <c r="B36" s="21" t="n"/>
      <c r="C36" s="16" t="n"/>
      <c r="D36" s="16" t="n"/>
      <c r="E36" s="29" t="n"/>
      <c r="F36" s="16" t="n"/>
      <c r="G36" s="16" t="n"/>
      <c r="H36" s="16" t="n"/>
      <c r="I36" s="29" t="n"/>
      <c r="J36" s="29" t="n"/>
      <c r="K36" s="26">
        <f>IF(A36="","",SUMPRODUCT((Phases!$A$3:$A$900=A36)*(Phases!$B$3:$B$900=B36)*(Phases!$C$3:$C$900=C36)))</f>
        <v/>
      </c>
      <c r="L36" s="28">
        <f>IF(A36="","",IF(COUNTIF(Programmes!$A$3:$A$60,A36)=0,"programme inconnu",IF(K36=0,"aucune phase","ok")))</f>
        <v/>
      </c>
    </row>
    <row r="37">
      <c r="A37" s="16" t="n"/>
      <c r="B37" s="21" t="n"/>
      <c r="C37" s="16" t="n"/>
      <c r="D37" s="16" t="n"/>
      <c r="E37" s="29" t="n"/>
      <c r="F37" s="16" t="n"/>
      <c r="G37" s="16" t="n"/>
      <c r="H37" s="16" t="n"/>
      <c r="I37" s="29" t="n"/>
      <c r="J37" s="29" t="n"/>
      <c r="K37" s="26">
        <f>IF(A37="","",SUMPRODUCT((Phases!$A$3:$A$900=A37)*(Phases!$B$3:$B$900=B37)*(Phases!$C$3:$C$900=C37)))</f>
        <v/>
      </c>
      <c r="L37" s="28">
        <f>IF(A37="","",IF(COUNTIF(Programmes!$A$3:$A$60,A37)=0,"programme inconnu",IF(K37=0,"aucune phase","ok")))</f>
        <v/>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6" t="inlineStr">
        <is>
          <t>elite</t>
        </is>
      </c>
      <c r="B3" s="21" t="n">
        <v>25000</v>
      </c>
      <c r="C3" s="16" t="n"/>
      <c r="D3" s="16" t="inlineStr">
        <is>
          <t>evaluation</t>
        </is>
      </c>
      <c r="E3" s="21" t="n">
        <v>1250</v>
      </c>
      <c r="F3" s="21" t="n">
        <v>1000</v>
      </c>
      <c r="G3" s="16" t="inlineStr">
        <is>
          <t>End of Day</t>
        </is>
      </c>
      <c r="H3" s="21" t="inlineStr">
        <is>
          <t>aucune</t>
        </is>
      </c>
      <c r="I3" s="23" t="n">
        <v>3</v>
      </c>
      <c r="J3" s="31" t="n">
        <v>0.4</v>
      </c>
      <c r="K3" s="23" t="n">
        <v>2</v>
      </c>
      <c r="L3" s="31" t="n"/>
      <c r="M3" s="21" t="n"/>
      <c r="N3" s="21" t="n"/>
      <c r="O3" s="28">
        <f>IF(A3="","",IF(SUMPRODUCT((Plans!$A$3:$A$300=A3)*(Plans!$B$3:$B$300=B3)*(Plans!$C$3:$C$300=C3))=0,"PLAN INCONNU","ok"))</f>
        <v/>
      </c>
    </row>
    <row r="4">
      <c r="A4" s="16" t="inlineStr">
        <is>
          <t>elite</t>
        </is>
      </c>
      <c r="B4" s="21" t="n">
        <v>25000</v>
      </c>
      <c r="C4" s="16" t="n"/>
      <c r="D4" s="16" t="inlineStr">
        <is>
          <t>funded</t>
        </is>
      </c>
      <c r="E4" s="21" t="n"/>
      <c r="F4" s="21" t="n">
        <v>1000</v>
      </c>
      <c r="G4" s="16" t="inlineStr">
        <is>
          <t>End of Day</t>
        </is>
      </c>
      <c r="H4" s="21" t="inlineStr">
        <is>
          <t>aucune</t>
        </is>
      </c>
      <c r="I4" s="23" t="n">
        <v>6</v>
      </c>
      <c r="J4" s="31" t="inlineStr">
        <is>
          <t>aucune</t>
        </is>
      </c>
      <c r="K4" s="23" t="n">
        <v>2</v>
      </c>
      <c r="L4" s="31" t="n">
        <v>0.9</v>
      </c>
      <c r="M4" s="21" t="n">
        <v>1000</v>
      </c>
      <c r="N4" s="21" t="n">
        <v>500</v>
      </c>
      <c r="O4" s="28">
        <f>IF(A4="","",IF(SUMPRODUCT((Plans!$A$3:$A$300=A4)*(Plans!$B$3:$B$300=B4)*(Plans!$C$3:$C$300=C4))=0,"PLAN INCONNU","ok"))</f>
        <v/>
      </c>
    </row>
    <row r="5">
      <c r="A5" s="16" t="inlineStr">
        <is>
          <t>elite</t>
        </is>
      </c>
      <c r="B5" s="21" t="n">
        <v>50000</v>
      </c>
      <c r="C5" s="16" t="n"/>
      <c r="D5" s="16" t="inlineStr">
        <is>
          <t>evaluation</t>
        </is>
      </c>
      <c r="E5" s="21" t="n">
        <v>3000</v>
      </c>
      <c r="F5" s="21" t="n">
        <v>2000</v>
      </c>
      <c r="G5" s="16" t="inlineStr">
        <is>
          <t>End of Day</t>
        </is>
      </c>
      <c r="H5" s="21" t="inlineStr">
        <is>
          <t>aucune</t>
        </is>
      </c>
      <c r="I5" s="23" t="n">
        <v>3</v>
      </c>
      <c r="J5" s="31" t="n">
        <v>0.4</v>
      </c>
      <c r="K5" s="23" t="n">
        <v>4</v>
      </c>
      <c r="L5" s="31" t="n"/>
      <c r="M5" s="21" t="n"/>
      <c r="N5" s="21" t="n"/>
      <c r="O5" s="28">
        <f>IF(A5="","",IF(SUMPRODUCT((Plans!$A$3:$A$300=A5)*(Plans!$B$3:$B$300=B5)*(Plans!$C$3:$C$300=C5))=0,"PLAN INCONNU","ok"))</f>
        <v/>
      </c>
    </row>
    <row r="6">
      <c r="A6" s="16" t="inlineStr">
        <is>
          <t>elite</t>
        </is>
      </c>
      <c r="B6" s="21" t="n">
        <v>50000</v>
      </c>
      <c r="C6" s="16" t="n"/>
      <c r="D6" s="16" t="inlineStr">
        <is>
          <t>funded</t>
        </is>
      </c>
      <c r="E6" s="21" t="n"/>
      <c r="F6" s="21" t="n">
        <v>2000</v>
      </c>
      <c r="G6" s="16" t="inlineStr">
        <is>
          <t>End of Day</t>
        </is>
      </c>
      <c r="H6" s="21" t="inlineStr">
        <is>
          <t>aucune</t>
        </is>
      </c>
      <c r="I6" s="23" t="n">
        <v>6</v>
      </c>
      <c r="J6" s="31" t="inlineStr">
        <is>
          <t>aucune</t>
        </is>
      </c>
      <c r="K6" s="23" t="n">
        <v>4</v>
      </c>
      <c r="L6" s="31" t="n">
        <v>0.9</v>
      </c>
      <c r="M6" s="21" t="n">
        <v>2000</v>
      </c>
      <c r="N6" s="21" t="n">
        <v>500</v>
      </c>
      <c r="O6" s="28">
        <f>IF(A6="","",IF(SUMPRODUCT((Plans!$A$3:$A$300=A6)*(Plans!$B$3:$B$300=B6)*(Plans!$C$3:$C$300=C6))=0,"PLAN INCONNU","ok"))</f>
        <v/>
      </c>
    </row>
    <row r="7">
      <c r="A7" s="16" t="inlineStr">
        <is>
          <t>elite</t>
        </is>
      </c>
      <c r="B7" s="21" t="n">
        <v>100000</v>
      </c>
      <c r="C7" s="16" t="n"/>
      <c r="D7" s="16" t="inlineStr">
        <is>
          <t>evaluation</t>
        </is>
      </c>
      <c r="E7" s="21" t="n">
        <v>6000</v>
      </c>
      <c r="F7" s="21" t="n">
        <v>3000</v>
      </c>
      <c r="G7" s="16" t="inlineStr">
        <is>
          <t>End of Day</t>
        </is>
      </c>
      <c r="H7" s="21" t="inlineStr">
        <is>
          <t>aucune</t>
        </is>
      </c>
      <c r="I7" s="23" t="n">
        <v>3</v>
      </c>
      <c r="J7" s="31" t="n">
        <v>0.4</v>
      </c>
      <c r="K7" s="23" t="n">
        <v>8</v>
      </c>
      <c r="L7" s="31" t="n"/>
      <c r="M7" s="21" t="n"/>
      <c r="N7" s="21" t="n"/>
      <c r="O7" s="28">
        <f>IF(A7="","",IF(SUMPRODUCT((Plans!$A$3:$A$300=A7)*(Plans!$B$3:$B$300=B7)*(Plans!$C$3:$C$300=C7))=0,"PLAN INCONNU","ok"))</f>
        <v/>
      </c>
    </row>
    <row r="8">
      <c r="A8" s="16" t="inlineStr">
        <is>
          <t>elite</t>
        </is>
      </c>
      <c r="B8" s="21" t="n">
        <v>100000</v>
      </c>
      <c r="C8" s="16" t="n"/>
      <c r="D8" s="16" t="inlineStr">
        <is>
          <t>funded</t>
        </is>
      </c>
      <c r="E8" s="21" t="n"/>
      <c r="F8" s="21" t="n">
        <v>3000</v>
      </c>
      <c r="G8" s="16" t="inlineStr">
        <is>
          <t>End of Day</t>
        </is>
      </c>
      <c r="H8" s="21" t="inlineStr">
        <is>
          <t>aucune</t>
        </is>
      </c>
      <c r="I8" s="23" t="n">
        <v>6</v>
      </c>
      <c r="J8" s="31" t="inlineStr">
        <is>
          <t>aucune</t>
        </is>
      </c>
      <c r="K8" s="23" t="n">
        <v>8</v>
      </c>
      <c r="L8" s="31" t="n">
        <v>0.9</v>
      </c>
      <c r="M8" s="21" t="n">
        <v>2500</v>
      </c>
      <c r="N8" s="21" t="n">
        <v>500</v>
      </c>
      <c r="O8" s="28">
        <f>IF(A8="","",IF(SUMPRODUCT((Plans!$A$3:$A$300=A8)*(Plans!$B$3:$B$300=B8)*(Plans!$C$3:$C$300=C8))=0,"PLAN INCONNU","ok"))</f>
        <v/>
      </c>
    </row>
    <row r="9">
      <c r="A9" s="16" t="inlineStr">
        <is>
          <t>elite</t>
        </is>
      </c>
      <c r="B9" s="21" t="n">
        <v>150000</v>
      </c>
      <c r="C9" s="16" t="n"/>
      <c r="D9" s="16" t="inlineStr">
        <is>
          <t>evaluation</t>
        </is>
      </c>
      <c r="E9" s="21" t="n">
        <v>9000</v>
      </c>
      <c r="F9" s="21" t="n">
        <v>4500</v>
      </c>
      <c r="G9" s="16" t="inlineStr">
        <is>
          <t>End of Day</t>
        </is>
      </c>
      <c r="H9" s="21" t="inlineStr">
        <is>
          <t>aucune</t>
        </is>
      </c>
      <c r="I9" s="23" t="n">
        <v>3</v>
      </c>
      <c r="J9" s="31" t="n">
        <v>0.4</v>
      </c>
      <c r="K9" s="23" t="n">
        <v>12</v>
      </c>
      <c r="L9" s="31" t="n"/>
      <c r="M9" s="21" t="n"/>
      <c r="N9" s="21" t="n"/>
      <c r="O9" s="28">
        <f>IF(A9="","",IF(SUMPRODUCT((Plans!$A$3:$A$300=A9)*(Plans!$B$3:$B$300=B9)*(Plans!$C$3:$C$300=C9))=0,"PLAN INCONNU","ok"))</f>
        <v/>
      </c>
    </row>
    <row r="10">
      <c r="A10" s="16" t="inlineStr">
        <is>
          <t>elite</t>
        </is>
      </c>
      <c r="B10" s="21" t="n">
        <v>150000</v>
      </c>
      <c r="C10" s="16" t="n"/>
      <c r="D10" s="16" t="inlineStr">
        <is>
          <t>funded</t>
        </is>
      </c>
      <c r="E10" s="21" t="n"/>
      <c r="F10" s="21" t="n">
        <v>4500</v>
      </c>
      <c r="G10" s="16" t="inlineStr">
        <is>
          <t>End of Day</t>
        </is>
      </c>
      <c r="H10" s="21" t="inlineStr">
        <is>
          <t>aucune</t>
        </is>
      </c>
      <c r="I10" s="23" t="n">
        <v>6</v>
      </c>
      <c r="J10" s="31" t="inlineStr">
        <is>
          <t>aucune</t>
        </is>
      </c>
      <c r="K10" s="23" t="n">
        <v>12</v>
      </c>
      <c r="L10" s="31" t="n">
        <v>0.9</v>
      </c>
      <c r="M10" s="21" t="n">
        <v>3000</v>
      </c>
      <c r="N10" s="21" t="n">
        <v>500</v>
      </c>
      <c r="O10" s="28">
        <f>IF(A10="","",IF(SUMPRODUCT((Plans!$A$3:$A$300=A10)*(Plans!$B$3:$B$300=B10)*(Plans!$C$3:$C$300=C10))=0,"PLAN INCONNU","ok"))</f>
        <v/>
      </c>
    </row>
    <row r="11">
      <c r="A11" s="16" t="inlineStr">
        <is>
          <t>nitro</t>
        </is>
      </c>
      <c r="B11" s="21" t="n">
        <v>25000</v>
      </c>
      <c r="C11" s="16" t="n"/>
      <c r="D11" s="16" t="inlineStr">
        <is>
          <t>evaluation</t>
        </is>
      </c>
      <c r="E11" s="21" t="n">
        <v>1250</v>
      </c>
      <c r="F11" s="21" t="n">
        <v>1000</v>
      </c>
      <c r="G11" s="16" t="inlineStr">
        <is>
          <t>End of Day</t>
        </is>
      </c>
      <c r="H11" s="21" t="inlineStr">
        <is>
          <t>aucune</t>
        </is>
      </c>
      <c r="I11" s="23" t="n">
        <v>2</v>
      </c>
      <c r="J11" s="31" t="n">
        <v>0.5</v>
      </c>
      <c r="K11" s="23" t="n">
        <v>2</v>
      </c>
      <c r="L11" s="31" t="n"/>
      <c r="M11" s="21" t="n"/>
      <c r="N11" s="21" t="n"/>
      <c r="O11" s="28">
        <f>IF(A11="","",IF(SUMPRODUCT((Plans!$A$3:$A$300=A11)*(Plans!$B$3:$B$300=B11)*(Plans!$C$3:$C$300=C11))=0,"PLAN INCONNU","ok"))</f>
        <v/>
      </c>
    </row>
    <row r="12">
      <c r="A12" s="16" t="inlineStr">
        <is>
          <t>nitro</t>
        </is>
      </c>
      <c r="B12" s="21" t="n">
        <v>25000</v>
      </c>
      <c r="C12" s="16" t="n"/>
      <c r="D12" s="16" t="inlineStr">
        <is>
          <t>funded</t>
        </is>
      </c>
      <c r="E12" s="21" t="n"/>
      <c r="F12" s="21" t="n">
        <v>1000</v>
      </c>
      <c r="G12" s="16" t="inlineStr">
        <is>
          <t>Trailing Equity</t>
        </is>
      </c>
      <c r="H12" s="21" t="inlineStr">
        <is>
          <t>aucune</t>
        </is>
      </c>
      <c r="I12" s="23" t="n">
        <v>1</v>
      </c>
      <c r="J12" s="31" t="inlineStr">
        <is>
          <t>aucune</t>
        </is>
      </c>
      <c r="K12" s="23" t="n">
        <v>2</v>
      </c>
      <c r="L12" s="31" t="n">
        <v>0.9</v>
      </c>
      <c r="M12" s="21" t="n">
        <v>1000</v>
      </c>
      <c r="N12" s="21" t="inlineStr">
        <is>
          <t>not_published</t>
        </is>
      </c>
      <c r="O12" s="28">
        <f>IF(A12="","",IF(SUMPRODUCT((Plans!$A$3:$A$300=A12)*(Plans!$B$3:$B$300=B12)*(Plans!$C$3:$C$300=C12))=0,"PLAN INCONNU","ok"))</f>
        <v/>
      </c>
    </row>
    <row r="13">
      <c r="A13" s="16" t="inlineStr">
        <is>
          <t>nitro</t>
        </is>
      </c>
      <c r="B13" s="21" t="n">
        <v>50000</v>
      </c>
      <c r="C13" s="16" t="n"/>
      <c r="D13" s="16" t="inlineStr">
        <is>
          <t>evaluation</t>
        </is>
      </c>
      <c r="E13" s="21" t="n">
        <v>3000</v>
      </c>
      <c r="F13" s="21" t="n">
        <v>2000</v>
      </c>
      <c r="G13" s="16" t="inlineStr">
        <is>
          <t>End of Day</t>
        </is>
      </c>
      <c r="H13" s="21" t="inlineStr">
        <is>
          <t>aucune</t>
        </is>
      </c>
      <c r="I13" s="23" t="n">
        <v>2</v>
      </c>
      <c r="J13" s="31" t="n">
        <v>0.5</v>
      </c>
      <c r="K13" s="23" t="n">
        <v>5</v>
      </c>
      <c r="L13" s="31" t="n"/>
      <c r="M13" s="21" t="n"/>
      <c r="N13" s="21" t="n"/>
      <c r="O13" s="28">
        <f>IF(A13="","",IF(SUMPRODUCT((Plans!$A$3:$A$300=A13)*(Plans!$B$3:$B$300=B13)*(Plans!$C$3:$C$300=C13))=0,"PLAN INCONNU","ok"))</f>
        <v/>
      </c>
    </row>
    <row r="14">
      <c r="A14" s="16" t="inlineStr">
        <is>
          <t>nitro</t>
        </is>
      </c>
      <c r="B14" s="21" t="n">
        <v>50000</v>
      </c>
      <c r="C14" s="16" t="n"/>
      <c r="D14" s="16" t="inlineStr">
        <is>
          <t>funded</t>
        </is>
      </c>
      <c r="E14" s="21" t="n"/>
      <c r="F14" s="21" t="n">
        <v>2000</v>
      </c>
      <c r="G14" s="16" t="inlineStr">
        <is>
          <t>Trailing Equity</t>
        </is>
      </c>
      <c r="H14" s="21" t="inlineStr">
        <is>
          <t>aucune</t>
        </is>
      </c>
      <c r="I14" s="23" t="n">
        <v>1</v>
      </c>
      <c r="J14" s="31" t="inlineStr">
        <is>
          <t>aucune</t>
        </is>
      </c>
      <c r="K14" s="23" t="n">
        <v>5</v>
      </c>
      <c r="L14" s="31" t="n">
        <v>0.9</v>
      </c>
      <c r="M14" s="21" t="n">
        <v>2000</v>
      </c>
      <c r="N14" s="21" t="inlineStr">
        <is>
          <t>not_published</t>
        </is>
      </c>
      <c r="O14" s="28">
        <f>IF(A14="","",IF(SUMPRODUCT((Plans!$A$3:$A$300=A14)*(Plans!$B$3:$B$300=B14)*(Plans!$C$3:$C$300=C14))=0,"PLAN INCONNU","ok"))</f>
        <v/>
      </c>
    </row>
    <row r="15">
      <c r="A15" s="16" t="inlineStr">
        <is>
          <t>nitro</t>
        </is>
      </c>
      <c r="B15" s="21" t="n">
        <v>100000</v>
      </c>
      <c r="C15" s="16" t="n"/>
      <c r="D15" s="16" t="inlineStr">
        <is>
          <t>evaluation</t>
        </is>
      </c>
      <c r="E15" s="21" t="n">
        <v>6000</v>
      </c>
      <c r="F15" s="21" t="n">
        <v>3000</v>
      </c>
      <c r="G15" s="16" t="inlineStr">
        <is>
          <t>End of Day</t>
        </is>
      </c>
      <c r="H15" s="21" t="inlineStr">
        <is>
          <t>aucune</t>
        </is>
      </c>
      <c r="I15" s="23" t="n">
        <v>2</v>
      </c>
      <c r="J15" s="31" t="n">
        <v>0.5</v>
      </c>
      <c r="K15" s="23" t="n">
        <v>8</v>
      </c>
      <c r="L15" s="31" t="n"/>
      <c r="M15" s="21" t="n"/>
      <c r="N15" s="21" t="n"/>
      <c r="O15" s="28">
        <f>IF(A15="","",IF(SUMPRODUCT((Plans!$A$3:$A$300=A15)*(Plans!$B$3:$B$300=B15)*(Plans!$C$3:$C$300=C15))=0,"PLAN INCONNU","ok"))</f>
        <v/>
      </c>
    </row>
    <row r="16">
      <c r="A16" s="16" t="inlineStr">
        <is>
          <t>nitro</t>
        </is>
      </c>
      <c r="B16" s="21" t="n">
        <v>100000</v>
      </c>
      <c r="C16" s="16" t="n"/>
      <c r="D16" s="16" t="inlineStr">
        <is>
          <t>funded</t>
        </is>
      </c>
      <c r="E16" s="21" t="n"/>
      <c r="F16" s="21" t="n">
        <v>3000</v>
      </c>
      <c r="G16" s="16" t="inlineStr">
        <is>
          <t>Trailing Equity</t>
        </is>
      </c>
      <c r="H16" s="21" t="inlineStr">
        <is>
          <t>aucune</t>
        </is>
      </c>
      <c r="I16" s="23" t="n">
        <v>1</v>
      </c>
      <c r="J16" s="31" t="inlineStr">
        <is>
          <t>aucune</t>
        </is>
      </c>
      <c r="K16" s="23" t="n">
        <v>8</v>
      </c>
      <c r="L16" s="31" t="n">
        <v>0.9</v>
      </c>
      <c r="M16" s="21" t="n">
        <v>2500</v>
      </c>
      <c r="N16" s="21" t="inlineStr">
        <is>
          <t>not_published</t>
        </is>
      </c>
      <c r="O16" s="28">
        <f>IF(A16="","",IF(SUMPRODUCT((Plans!$A$3:$A$300=A16)*(Plans!$B$3:$B$300=B16)*(Plans!$C$3:$C$300=C16))=0,"PLAN INCONNU","ok"))</f>
        <v/>
      </c>
    </row>
    <row r="17">
      <c r="A17" s="16" t="inlineStr">
        <is>
          <t>nitro</t>
        </is>
      </c>
      <c r="B17" s="21" t="n">
        <v>150000</v>
      </c>
      <c r="C17" s="16" t="n"/>
      <c r="D17" s="16" t="inlineStr">
        <is>
          <t>evaluation</t>
        </is>
      </c>
      <c r="E17" s="21" t="n">
        <v>9000</v>
      </c>
      <c r="F17" s="21" t="n">
        <v>4500</v>
      </c>
      <c r="G17" s="16" t="inlineStr">
        <is>
          <t>End of Day</t>
        </is>
      </c>
      <c r="H17" s="21" t="inlineStr">
        <is>
          <t>aucune</t>
        </is>
      </c>
      <c r="I17" s="23" t="n">
        <v>2</v>
      </c>
      <c r="J17" s="31" t="n">
        <v>0.5</v>
      </c>
      <c r="K17" s="23" t="n">
        <v>10</v>
      </c>
      <c r="L17" s="31" t="n"/>
      <c r="M17" s="21" t="n"/>
      <c r="N17" s="21" t="n"/>
      <c r="O17" s="28">
        <f>IF(A17="","",IF(SUMPRODUCT((Plans!$A$3:$A$300=A17)*(Plans!$B$3:$B$300=B17)*(Plans!$C$3:$C$300=C17))=0,"PLAN INCONNU","ok"))</f>
        <v/>
      </c>
    </row>
    <row r="18">
      <c r="A18" s="16" t="inlineStr">
        <is>
          <t>nitro</t>
        </is>
      </c>
      <c r="B18" s="21" t="n">
        <v>150000</v>
      </c>
      <c r="C18" s="16" t="n"/>
      <c r="D18" s="16" t="inlineStr">
        <is>
          <t>funded</t>
        </is>
      </c>
      <c r="E18" s="21" t="n"/>
      <c r="F18" s="21" t="n">
        <v>4500</v>
      </c>
      <c r="G18" s="16" t="inlineStr">
        <is>
          <t>Trailing Equity</t>
        </is>
      </c>
      <c r="H18" s="21" t="inlineStr">
        <is>
          <t>aucune</t>
        </is>
      </c>
      <c r="I18" s="23" t="n">
        <v>1</v>
      </c>
      <c r="J18" s="31" t="inlineStr">
        <is>
          <t>aucune</t>
        </is>
      </c>
      <c r="K18" s="23" t="n">
        <v>10</v>
      </c>
      <c r="L18" s="31" t="n">
        <v>0.9</v>
      </c>
      <c r="M18" s="21" t="n">
        <v>2800</v>
      </c>
      <c r="N18" s="21" t="inlineStr">
        <is>
          <t>not_published</t>
        </is>
      </c>
      <c r="O18" s="28">
        <f>IF(A18="","",IF(SUMPRODUCT((Plans!$A$3:$A$300=A18)*(Plans!$B$3:$B$300=B18)*(Plans!$C$3:$C$300=C18))=0,"PLAN INCONNU","ok"))</f>
        <v/>
      </c>
    </row>
    <row r="19">
      <c r="A19" s="16" t="inlineStr">
        <is>
          <t>prime</t>
        </is>
      </c>
      <c r="B19" s="21" t="n">
        <v>25000</v>
      </c>
      <c r="C19" s="16" t="n"/>
      <c r="D19" s="16" t="inlineStr">
        <is>
          <t>evaluation</t>
        </is>
      </c>
      <c r="E19" s="21" t="n">
        <v>1250</v>
      </c>
      <c r="F19" s="21" t="n">
        <v>1000</v>
      </c>
      <c r="G19" s="16" t="inlineStr">
        <is>
          <t>End of Day</t>
        </is>
      </c>
      <c r="H19" s="21" t="n">
        <v>600</v>
      </c>
      <c r="I19" s="23" t="n">
        <v>1</v>
      </c>
      <c r="J19" s="31" t="n"/>
      <c r="K19" s="23" t="n">
        <v>2</v>
      </c>
      <c r="L19" s="31" t="n"/>
      <c r="M19" s="21" t="n"/>
      <c r="N19" s="21" t="n"/>
      <c r="O19" s="28">
        <f>IF(A19="","",IF(SUMPRODUCT((Plans!$A$3:$A$300=A19)*(Plans!$B$3:$B$300=B19)*(Plans!$C$3:$C$300=C19))=0,"PLAN INCONNU","ok"))</f>
        <v/>
      </c>
    </row>
    <row r="20">
      <c r="A20" s="16" t="inlineStr">
        <is>
          <t>prime</t>
        </is>
      </c>
      <c r="B20" s="21" t="n">
        <v>25000</v>
      </c>
      <c r="C20" s="16" t="n"/>
      <c r="D20" s="16" t="inlineStr">
        <is>
          <t>funded</t>
        </is>
      </c>
      <c r="E20" s="21" t="n"/>
      <c r="F20" s="21" t="n">
        <v>1000</v>
      </c>
      <c r="G20" s="16" t="inlineStr">
        <is>
          <t>End of Day</t>
        </is>
      </c>
      <c r="H20" s="21" t="n">
        <v>600</v>
      </c>
      <c r="I20" s="23" t="n">
        <v>3</v>
      </c>
      <c r="J20" s="31" t="n">
        <v>0.4</v>
      </c>
      <c r="K20" s="23" t="n">
        <v>2</v>
      </c>
      <c r="L20" s="31" t="n">
        <v>0.9</v>
      </c>
      <c r="M20" s="21" t="n">
        <v>1000</v>
      </c>
      <c r="N20" s="21" t="inlineStr">
        <is>
          <t>not_published</t>
        </is>
      </c>
      <c r="O20" s="28">
        <f>IF(A20="","",IF(SUMPRODUCT((Plans!$A$3:$A$300=A20)*(Plans!$B$3:$B$300=B20)*(Plans!$C$3:$C$300=C20))=0,"PLAN INCONNU","ok"))</f>
        <v/>
      </c>
    </row>
    <row r="21">
      <c r="A21" s="16" t="inlineStr">
        <is>
          <t>prime</t>
        </is>
      </c>
      <c r="B21" s="21" t="n">
        <v>50000</v>
      </c>
      <c r="C21" s="16" t="n"/>
      <c r="D21" s="16" t="inlineStr">
        <is>
          <t>evaluation</t>
        </is>
      </c>
      <c r="E21" s="21" t="n">
        <v>3000</v>
      </c>
      <c r="F21" s="21" t="n">
        <v>2000</v>
      </c>
      <c r="G21" s="16" t="inlineStr">
        <is>
          <t>End of Day</t>
        </is>
      </c>
      <c r="H21" s="21" t="n">
        <v>1200</v>
      </c>
      <c r="I21" s="23" t="n">
        <v>1</v>
      </c>
      <c r="J21" s="31" t="n"/>
      <c r="K21" s="23" t="n">
        <v>4</v>
      </c>
      <c r="L21" s="31" t="n"/>
      <c r="M21" s="21" t="n"/>
      <c r="N21" s="21" t="n"/>
      <c r="O21" s="28">
        <f>IF(A21="","",IF(SUMPRODUCT((Plans!$A$3:$A$300=A21)*(Plans!$B$3:$B$300=B21)*(Plans!$C$3:$C$300=C21))=0,"PLAN INCONNU","ok"))</f>
        <v/>
      </c>
    </row>
    <row r="22">
      <c r="A22" s="16" t="inlineStr">
        <is>
          <t>prime</t>
        </is>
      </c>
      <c r="B22" s="21" t="n">
        <v>50000</v>
      </c>
      <c r="C22" s="16" t="n"/>
      <c r="D22" s="16" t="inlineStr">
        <is>
          <t>funded</t>
        </is>
      </c>
      <c r="E22" s="21" t="n"/>
      <c r="F22" s="21" t="n">
        <v>2000</v>
      </c>
      <c r="G22" s="16" t="inlineStr">
        <is>
          <t>End of Day</t>
        </is>
      </c>
      <c r="H22" s="21" t="n">
        <v>1200</v>
      </c>
      <c r="I22" s="23" t="n">
        <v>3</v>
      </c>
      <c r="J22" s="31" t="n">
        <v>0.4</v>
      </c>
      <c r="K22" s="23" t="n">
        <v>4</v>
      </c>
      <c r="L22" s="31" t="n">
        <v>0.9</v>
      </c>
      <c r="M22" s="21" t="n">
        <v>2000</v>
      </c>
      <c r="N22" s="21" t="inlineStr">
        <is>
          <t>not_published</t>
        </is>
      </c>
      <c r="O22" s="28">
        <f>IF(A22="","",IF(SUMPRODUCT((Plans!$A$3:$A$300=A22)*(Plans!$B$3:$B$300=B22)*(Plans!$C$3:$C$300=C22))=0,"PLAN INCONNU","ok"))</f>
        <v/>
      </c>
    </row>
    <row r="23">
      <c r="A23" s="16" t="inlineStr">
        <is>
          <t>prime</t>
        </is>
      </c>
      <c r="B23" s="21" t="n">
        <v>100000</v>
      </c>
      <c r="C23" s="16" t="n"/>
      <c r="D23" s="16" t="inlineStr">
        <is>
          <t>evaluation</t>
        </is>
      </c>
      <c r="E23" s="21" t="n">
        <v>6000</v>
      </c>
      <c r="F23" s="21" t="n">
        <v>3000</v>
      </c>
      <c r="G23" s="16" t="inlineStr">
        <is>
          <t>End of Day</t>
        </is>
      </c>
      <c r="H23" s="21" t="n">
        <v>1800</v>
      </c>
      <c r="I23" s="23" t="n">
        <v>1</v>
      </c>
      <c r="J23" s="31" t="n"/>
      <c r="K23" s="23" t="n">
        <v>6</v>
      </c>
      <c r="L23" s="31" t="n"/>
      <c r="M23" s="21" t="n"/>
      <c r="N23" s="21" t="n"/>
      <c r="O23" s="28">
        <f>IF(A23="","",IF(SUMPRODUCT((Plans!$A$3:$A$300=A23)*(Plans!$B$3:$B$300=B23)*(Plans!$C$3:$C$300=C23))=0,"PLAN INCONNU","ok"))</f>
        <v/>
      </c>
    </row>
    <row r="24">
      <c r="A24" s="16" t="inlineStr">
        <is>
          <t>prime</t>
        </is>
      </c>
      <c r="B24" s="21" t="n">
        <v>100000</v>
      </c>
      <c r="C24" s="16" t="n"/>
      <c r="D24" s="16" t="inlineStr">
        <is>
          <t>funded</t>
        </is>
      </c>
      <c r="E24" s="21" t="n"/>
      <c r="F24" s="21" t="n">
        <v>3000</v>
      </c>
      <c r="G24" s="16" t="inlineStr">
        <is>
          <t>End of Day</t>
        </is>
      </c>
      <c r="H24" s="21" t="n">
        <v>1800</v>
      </c>
      <c r="I24" s="23" t="n">
        <v>3</v>
      </c>
      <c r="J24" s="31" t="n">
        <v>0.4</v>
      </c>
      <c r="K24" s="23" t="n">
        <v>6</v>
      </c>
      <c r="L24" s="31" t="n">
        <v>0.9</v>
      </c>
      <c r="M24" s="21" t="n">
        <v>2500</v>
      </c>
      <c r="N24" s="21" t="inlineStr">
        <is>
          <t>not_published</t>
        </is>
      </c>
      <c r="O24" s="28">
        <f>IF(A24="","",IF(SUMPRODUCT((Plans!$A$3:$A$300=A24)*(Plans!$B$3:$B$300=B24)*(Plans!$C$3:$C$300=C24))=0,"PLAN INCONNU","ok"))</f>
        <v/>
      </c>
    </row>
    <row r="25">
      <c r="A25" s="16" t="inlineStr">
        <is>
          <t>prime</t>
        </is>
      </c>
      <c r="B25" s="21" t="n">
        <v>150000</v>
      </c>
      <c r="C25" s="16" t="n"/>
      <c r="D25" s="16" t="inlineStr">
        <is>
          <t>evaluation</t>
        </is>
      </c>
      <c r="E25" s="21" t="n">
        <v>9000</v>
      </c>
      <c r="F25" s="21" t="n">
        <v>4500</v>
      </c>
      <c r="G25" s="16" t="inlineStr">
        <is>
          <t>End of Day</t>
        </is>
      </c>
      <c r="H25" s="21" t="n">
        <v>2700</v>
      </c>
      <c r="I25" s="23" t="n">
        <v>1</v>
      </c>
      <c r="J25" s="31" t="n"/>
      <c r="K25" s="23" t="n">
        <v>10</v>
      </c>
      <c r="L25" s="31" t="n"/>
      <c r="M25" s="21" t="n"/>
      <c r="N25" s="21" t="n"/>
      <c r="O25" s="28">
        <f>IF(A25="","",IF(SUMPRODUCT((Plans!$A$3:$A$300=A25)*(Plans!$B$3:$B$300=B25)*(Plans!$C$3:$C$300=C25))=0,"PLAN INCONNU","ok"))</f>
        <v/>
      </c>
    </row>
    <row r="26">
      <c r="A26" s="16" t="inlineStr">
        <is>
          <t>prime</t>
        </is>
      </c>
      <c r="B26" s="21" t="n">
        <v>150000</v>
      </c>
      <c r="C26" s="16" t="n"/>
      <c r="D26" s="16" t="inlineStr">
        <is>
          <t>funded</t>
        </is>
      </c>
      <c r="E26" s="21" t="n"/>
      <c r="F26" s="21" t="n">
        <v>4500</v>
      </c>
      <c r="G26" s="16" t="inlineStr">
        <is>
          <t>End of Day</t>
        </is>
      </c>
      <c r="H26" s="21" t="n">
        <v>2700</v>
      </c>
      <c r="I26" s="23" t="n">
        <v>3</v>
      </c>
      <c r="J26" s="31" t="n">
        <v>0.4</v>
      </c>
      <c r="K26" s="23" t="n">
        <v>10</v>
      </c>
      <c r="L26" s="31" t="n">
        <v>0.9</v>
      </c>
      <c r="M26" s="21" t="n">
        <v>3000</v>
      </c>
      <c r="N26" s="21" t="inlineStr">
        <is>
          <t>not_published</t>
        </is>
      </c>
      <c r="O26" s="28">
        <f>IF(A26="","",IF(SUMPRODUCT((Plans!$A$3:$A$300=A26)*(Plans!$B$3:$B$300=B26)*(Plans!$C$3:$C$300=C26))=0,"PLAN INCONNU","ok"))</f>
        <v/>
      </c>
    </row>
    <row r="27">
      <c r="A27" s="16" t="inlineStr">
        <is>
          <t>instant</t>
        </is>
      </c>
      <c r="B27" s="21" t="n">
        <v>50000</v>
      </c>
      <c r="C27" s="16" t="n"/>
      <c r="D27" s="16" t="inlineStr">
        <is>
          <t>funded</t>
        </is>
      </c>
      <c r="E27" s="21" t="n"/>
      <c r="F27" s="21" t="n">
        <v>1800</v>
      </c>
      <c r="G27" s="16" t="inlineStr">
        <is>
          <t>End of Day</t>
        </is>
      </c>
      <c r="H27" s="21" t="inlineStr">
        <is>
          <t>aucune</t>
        </is>
      </c>
      <c r="I27" s="23" t="n">
        <v>10</v>
      </c>
      <c r="J27" s="31" t="n">
        <v>0.2</v>
      </c>
      <c r="K27" s="23" t="n">
        <v>4</v>
      </c>
      <c r="L27" s="31" t="n">
        <v>0.8</v>
      </c>
      <c r="M27" s="21" t="n">
        <v>1500</v>
      </c>
      <c r="N27" s="21" t="inlineStr">
        <is>
          <t>not_published</t>
        </is>
      </c>
      <c r="O27" s="28">
        <f>IF(A27="","",IF(SUMPRODUCT((Plans!$A$3:$A$300=A27)*(Plans!$B$3:$B$300=B27)*(Plans!$C$3:$C$300=C27))=0,"PLAN INCONNU","ok"))</f>
        <v/>
      </c>
    </row>
    <row r="28">
      <c r="A28" s="16" t="inlineStr">
        <is>
          <t>instant</t>
        </is>
      </c>
      <c r="B28" s="21" t="n">
        <v>100000</v>
      </c>
      <c r="C28" s="16" t="n"/>
      <c r="D28" s="16" t="inlineStr">
        <is>
          <t>funded</t>
        </is>
      </c>
      <c r="E28" s="21" t="n"/>
      <c r="F28" s="21" t="n">
        <v>3000</v>
      </c>
      <c r="G28" s="16" t="inlineStr">
        <is>
          <t>End of Day</t>
        </is>
      </c>
      <c r="H28" s="21" t="inlineStr">
        <is>
          <t>aucune</t>
        </is>
      </c>
      <c r="I28" s="23" t="n">
        <v>10</v>
      </c>
      <c r="J28" s="31" t="n">
        <v>0.2</v>
      </c>
      <c r="K28" s="23" t="n">
        <v>8</v>
      </c>
      <c r="L28" s="31" t="n">
        <v>0.8</v>
      </c>
      <c r="M28" s="21" t="n">
        <v>2500</v>
      </c>
      <c r="N28" s="21" t="inlineStr">
        <is>
          <t>not_published</t>
        </is>
      </c>
      <c r="O28" s="28">
        <f>IF(A28="","",IF(SUMPRODUCT((Plans!$A$3:$A$300=A28)*(Plans!$B$3:$B$300=B28)*(Plans!$C$3:$C$300=C28))=0,"PLAN INCONNU","ok"))</f>
        <v/>
      </c>
    </row>
    <row r="29">
      <c r="A29" s="16" t="inlineStr">
        <is>
          <t>instant</t>
        </is>
      </c>
      <c r="B29" s="21" t="n">
        <v>150000</v>
      </c>
      <c r="C29" s="16" t="n"/>
      <c r="D29" s="16" t="inlineStr">
        <is>
          <t>funded</t>
        </is>
      </c>
      <c r="E29" s="21" t="n"/>
      <c r="F29" s="21" t="n">
        <v>4500</v>
      </c>
      <c r="G29" s="16" t="inlineStr">
        <is>
          <t>End of Day</t>
        </is>
      </c>
      <c r="H29" s="21" t="inlineStr">
        <is>
          <t>aucune</t>
        </is>
      </c>
      <c r="I29" s="23" t="n">
        <v>10</v>
      </c>
      <c r="J29" s="31" t="n">
        <v>0.2</v>
      </c>
      <c r="K29" s="23" t="n">
        <v>12</v>
      </c>
      <c r="L29" s="31" t="n">
        <v>0.8</v>
      </c>
      <c r="M29" s="21" t="n">
        <v>3500</v>
      </c>
      <c r="N29" s="21" t="inlineStr">
        <is>
          <t>not_published</t>
        </is>
      </c>
      <c r="O29" s="28">
        <f>IF(A29="","",IF(SUMPRODUCT((Plans!$A$3:$A$300=A29)*(Plans!$B$3:$B$300=B29)*(Plans!$C$3:$C$300=C29))=0,"PLAN INCONNU","ok"))</f>
        <v/>
      </c>
    </row>
    <row r="30">
      <c r="A30" s="16" t="n"/>
      <c r="B30" s="21" t="n"/>
      <c r="C30" s="16" t="n"/>
      <c r="D30" s="16" t="n"/>
      <c r="E30" s="21" t="n"/>
      <c r="F30" s="21" t="n"/>
      <c r="G30" s="16" t="n"/>
      <c r="H30" s="21" t="n"/>
      <c r="I30" s="23" t="n"/>
      <c r="J30" s="31" t="n"/>
      <c r="K30" s="23" t="n"/>
      <c r="L30" s="31" t="n"/>
      <c r="M30" s="21" t="n"/>
      <c r="N30" s="21" t="n"/>
      <c r="O30" s="28">
        <f>IF(A30="","",IF(SUMPRODUCT((Plans!$A$3:$A$300=A30)*(Plans!$B$3:$B$300=B30)*(Plans!$C$3:$C$300=C30))=0,"PLAN INCONNU","ok"))</f>
        <v/>
      </c>
    </row>
    <row r="31">
      <c r="A31" s="16" t="n"/>
      <c r="B31" s="21" t="n"/>
      <c r="C31" s="16" t="n"/>
      <c r="D31" s="16" t="n"/>
      <c r="E31" s="21" t="n"/>
      <c r="F31" s="21" t="n"/>
      <c r="G31" s="16" t="n"/>
      <c r="H31" s="21" t="n"/>
      <c r="I31" s="23" t="n"/>
      <c r="J31" s="31" t="n"/>
      <c r="K31" s="23" t="n"/>
      <c r="L31" s="31" t="n"/>
      <c r="M31" s="21" t="n"/>
      <c r="N31" s="21" t="n"/>
      <c r="O31" s="28">
        <f>IF(A31="","",IF(SUMPRODUCT((Plans!$A$3:$A$300=A31)*(Plans!$B$3:$B$300=B31)*(Plans!$C$3:$C$300=C31))=0,"PLAN INCONNU","ok"))</f>
        <v/>
      </c>
    </row>
    <row r="32">
      <c r="A32" s="16" t="n"/>
      <c r="B32" s="21" t="n"/>
      <c r="C32" s="16" t="n"/>
      <c r="D32" s="16" t="n"/>
      <c r="E32" s="21" t="n"/>
      <c r="F32" s="21" t="n"/>
      <c r="G32" s="16" t="n"/>
      <c r="H32" s="21" t="n"/>
      <c r="I32" s="23" t="n"/>
      <c r="J32" s="31" t="n"/>
      <c r="K32" s="23" t="n"/>
      <c r="L32" s="31" t="n"/>
      <c r="M32" s="21" t="n"/>
      <c r="N32" s="21" t="n"/>
      <c r="O32" s="28">
        <f>IF(A32="","",IF(SUMPRODUCT((Plans!$A$3:$A$300=A32)*(Plans!$B$3:$B$300=B32)*(Plans!$C$3:$C$300=C32))=0,"PLAN INCONNU","ok"))</f>
        <v/>
      </c>
    </row>
    <row r="33">
      <c r="A33" s="16" t="n"/>
      <c r="B33" s="21" t="n"/>
      <c r="C33" s="16" t="n"/>
      <c r="D33" s="16" t="n"/>
      <c r="E33" s="21" t="n"/>
      <c r="F33" s="21" t="n"/>
      <c r="G33" s="16" t="n"/>
      <c r="H33" s="21" t="n"/>
      <c r="I33" s="23" t="n"/>
      <c r="J33" s="31" t="n"/>
      <c r="K33" s="23" t="n"/>
      <c r="L33" s="31" t="n"/>
      <c r="M33" s="21" t="n"/>
      <c r="N33" s="21" t="n"/>
      <c r="O33" s="28">
        <f>IF(A33="","",IF(SUMPRODUCT((Plans!$A$3:$A$300=A33)*(Plans!$B$3:$B$300=B33)*(Plans!$C$3:$C$300=C33))=0,"PLAN INCONNU","ok"))</f>
        <v/>
      </c>
    </row>
    <row r="34">
      <c r="A34" s="16" t="n"/>
      <c r="B34" s="21" t="n"/>
      <c r="C34" s="16" t="n"/>
      <c r="D34" s="16" t="n"/>
      <c r="E34" s="21" t="n"/>
      <c r="F34" s="21" t="n"/>
      <c r="G34" s="16" t="n"/>
      <c r="H34" s="21" t="n"/>
      <c r="I34" s="23" t="n"/>
      <c r="J34" s="31" t="n"/>
      <c r="K34" s="23" t="n"/>
      <c r="L34" s="31" t="n"/>
      <c r="M34" s="21" t="n"/>
      <c r="N34" s="21" t="n"/>
      <c r="O34" s="28">
        <f>IF(A34="","",IF(SUMPRODUCT((Plans!$A$3:$A$300=A34)*(Plans!$B$3:$B$300=B34)*(Plans!$C$3:$C$300=C34))=0,"PLAN INCONNU","ok"))</f>
        <v/>
      </c>
    </row>
    <row r="35">
      <c r="A35" s="16" t="n"/>
      <c r="B35" s="21" t="n"/>
      <c r="C35" s="16" t="n"/>
      <c r="D35" s="16" t="n"/>
      <c r="E35" s="21" t="n"/>
      <c r="F35" s="21" t="n"/>
      <c r="G35" s="16" t="n"/>
      <c r="H35" s="21" t="n"/>
      <c r="I35" s="23" t="n"/>
      <c r="J35" s="31" t="n"/>
      <c r="K35" s="23" t="n"/>
      <c r="L35" s="31" t="n"/>
      <c r="M35" s="21" t="n"/>
      <c r="N35" s="21" t="n"/>
      <c r="O35" s="28">
        <f>IF(A35="","",IF(SUMPRODUCT((Plans!$A$3:$A$300=A35)*(Plans!$B$3:$B$300=B35)*(Plans!$C$3:$C$300=C35))=0,"PLAN INCONNU","ok"))</f>
        <v/>
      </c>
    </row>
    <row r="36">
      <c r="A36" s="16" t="n"/>
      <c r="B36" s="21" t="n"/>
      <c r="C36" s="16" t="n"/>
      <c r="D36" s="16" t="n"/>
      <c r="E36" s="21" t="n"/>
      <c r="F36" s="21" t="n"/>
      <c r="G36" s="16" t="n"/>
      <c r="H36" s="21" t="n"/>
      <c r="I36" s="23" t="n"/>
      <c r="J36" s="31" t="n"/>
      <c r="K36" s="23" t="n"/>
      <c r="L36" s="31" t="n"/>
      <c r="M36" s="21" t="n"/>
      <c r="N36" s="21" t="n"/>
      <c r="O36" s="28">
        <f>IF(A36="","",IF(SUMPRODUCT((Plans!$A$3:$A$300=A36)*(Plans!$B$3:$B$300=B36)*(Plans!$C$3:$C$300=C36))=0,"PLAN INCONNU","ok"))</f>
        <v/>
      </c>
    </row>
    <row r="37">
      <c r="A37" s="16" t="n"/>
      <c r="B37" s="21" t="n"/>
      <c r="C37" s="16" t="n"/>
      <c r="D37" s="16" t="n"/>
      <c r="E37" s="21" t="n"/>
      <c r="F37" s="21" t="n"/>
      <c r="G37" s="16" t="n"/>
      <c r="H37" s="21" t="n"/>
      <c r="I37" s="23" t="n"/>
      <c r="J37" s="31" t="n"/>
      <c r="K37" s="23" t="n"/>
      <c r="L37" s="31" t="n"/>
      <c r="M37" s="21" t="n"/>
      <c r="N37" s="21" t="n"/>
      <c r="O37" s="28">
        <f>IF(A37="","",IF(SUMPRODUCT((Plans!$A$3:$A$300=A37)*(Plans!$B$3:$B$300=B37)*(Plans!$C$3:$C$300=C37))=0,"PLAN INCONNU","ok"))</f>
        <v/>
      </c>
    </row>
    <row r="38">
      <c r="A38" s="16" t="n"/>
      <c r="B38" s="21" t="n"/>
      <c r="C38" s="16" t="n"/>
      <c r="D38" s="16" t="n"/>
      <c r="E38" s="21" t="n"/>
      <c r="F38" s="21" t="n"/>
      <c r="G38" s="16" t="n"/>
      <c r="H38" s="21" t="n"/>
      <c r="I38" s="23" t="n"/>
      <c r="J38" s="31" t="n"/>
      <c r="K38" s="23" t="n"/>
      <c r="L38" s="31" t="n"/>
      <c r="M38" s="21" t="n"/>
      <c r="N38" s="21" t="n"/>
      <c r="O38" s="28">
        <f>IF(A38="","",IF(SUMPRODUCT((Plans!$A$3:$A$300=A38)*(Plans!$B$3:$B$300=B38)*(Plans!$C$3:$C$300=C38))=0,"PLAN INCONNU","ok"))</f>
        <v/>
      </c>
    </row>
    <row r="39">
      <c r="A39" s="16" t="n"/>
      <c r="B39" s="21" t="n"/>
      <c r="C39" s="16" t="n"/>
      <c r="D39" s="16" t="n"/>
      <c r="E39" s="21" t="n"/>
      <c r="F39" s="21" t="n"/>
      <c r="G39" s="16" t="n"/>
      <c r="H39" s="21" t="n"/>
      <c r="I39" s="23" t="n"/>
      <c r="J39" s="31" t="n"/>
      <c r="K39" s="23" t="n"/>
      <c r="L39" s="31" t="n"/>
      <c r="M39" s="21" t="n"/>
      <c r="N39" s="21" t="n"/>
      <c r="O39" s="28">
        <f>IF(A39="","",IF(SUMPRODUCT((Plans!$A$3:$A$300=A39)*(Plans!$B$3:$B$300=B39)*(Plans!$C$3:$C$300=C39))=0,"PLAN INCONNU","ok"))</f>
        <v/>
      </c>
    </row>
    <row r="40">
      <c r="A40" s="16" t="n"/>
      <c r="B40" s="21" t="n"/>
      <c r="C40" s="16" t="n"/>
      <c r="D40" s="16" t="n"/>
      <c r="E40" s="21" t="n"/>
      <c r="F40" s="21" t="n"/>
      <c r="G40" s="16" t="n"/>
      <c r="H40" s="21" t="n"/>
      <c r="I40" s="23" t="n"/>
      <c r="J40" s="31" t="n"/>
      <c r="K40" s="23" t="n"/>
      <c r="L40" s="31" t="n"/>
      <c r="M40" s="21" t="n"/>
      <c r="N40" s="21" t="n"/>
      <c r="O40" s="28">
        <f>IF(A40="","",IF(SUMPRODUCT((Plans!$A$3:$A$300=A40)*(Plans!$B$3:$B$300=B40)*(Plans!$C$3:$C$300=C40))=0,"PLAN INCONNU","ok"))</f>
        <v/>
      </c>
    </row>
    <row r="41">
      <c r="A41" s="16" t="n"/>
      <c r="B41" s="21" t="n"/>
      <c r="C41" s="16" t="n"/>
      <c r="D41" s="16" t="n"/>
      <c r="E41" s="21" t="n"/>
      <c r="F41" s="21" t="n"/>
      <c r="G41" s="16" t="n"/>
      <c r="H41" s="21" t="n"/>
      <c r="I41" s="23" t="n"/>
      <c r="J41" s="31" t="n"/>
      <c r="K41" s="23" t="n"/>
      <c r="L41" s="31" t="n"/>
      <c r="M41" s="21" t="n"/>
      <c r="N41" s="21" t="n"/>
      <c r="O41" s="28">
        <f>IF(A41="","",IF(SUMPRODUCT((Plans!$A$3:$A$300=A41)*(Plans!$B$3:$B$300=B41)*(Plans!$C$3:$C$300=C41))=0,"PLAN INCONNU","ok"))</f>
        <v/>
      </c>
    </row>
    <row r="42">
      <c r="A42" s="16" t="n"/>
      <c r="B42" s="21" t="n"/>
      <c r="C42" s="16" t="n"/>
      <c r="D42" s="16" t="n"/>
      <c r="E42" s="21" t="n"/>
      <c r="F42" s="21" t="n"/>
      <c r="G42" s="16" t="n"/>
      <c r="H42" s="21" t="n"/>
      <c r="I42" s="23" t="n"/>
      <c r="J42" s="31" t="n"/>
      <c r="K42" s="23" t="n"/>
      <c r="L42" s="31" t="n"/>
      <c r="M42" s="21" t="n"/>
      <c r="N42" s="21" t="n"/>
      <c r="O42" s="28">
        <f>IF(A42="","",IF(SUMPRODUCT((Plans!$A$3:$A$300=A42)*(Plans!$B$3:$B$300=B42)*(Plans!$C$3:$C$300=C42))=0,"PLAN INCONNU","ok"))</f>
        <v/>
      </c>
    </row>
    <row r="43">
      <c r="A43" s="16" t="n"/>
      <c r="B43" s="21" t="n"/>
      <c r="C43" s="16" t="n"/>
      <c r="D43" s="16" t="n"/>
      <c r="E43" s="21" t="n"/>
      <c r="F43" s="21" t="n"/>
      <c r="G43" s="16" t="n"/>
      <c r="H43" s="21" t="n"/>
      <c r="I43" s="23" t="n"/>
      <c r="J43" s="31" t="n"/>
      <c r="K43" s="23" t="n"/>
      <c r="L43" s="31" t="n"/>
      <c r="M43" s="21" t="n"/>
      <c r="N43" s="21" t="n"/>
      <c r="O43" s="28">
        <f>IF(A43="","",IF(SUMPRODUCT((Plans!$A$3:$A$300=A43)*(Plans!$B$3:$B$300=B43)*(Plans!$C$3:$C$300=C43))=0,"PLAN INCONNU","ok"))</f>
        <v/>
      </c>
    </row>
    <row r="44">
      <c r="A44" s="16" t="n"/>
      <c r="B44" s="21" t="n"/>
      <c r="C44" s="16" t="n"/>
      <c r="D44" s="16" t="n"/>
      <c r="E44" s="21" t="n"/>
      <c r="F44" s="21" t="n"/>
      <c r="G44" s="16" t="n"/>
      <c r="H44" s="21" t="n"/>
      <c r="I44" s="23" t="n"/>
      <c r="J44" s="31" t="n"/>
      <c r="K44" s="23" t="n"/>
      <c r="L44" s="31" t="n"/>
      <c r="M44" s="21" t="n"/>
      <c r="N44" s="21" t="n"/>
      <c r="O44" s="28">
        <f>IF(A44="","",IF(SUMPRODUCT((Plans!$A$3:$A$300=A44)*(Plans!$B$3:$B$300=B44)*(Plans!$C$3:$C$300=C44))=0,"PLAN INCONNU","ok"))</f>
        <v/>
      </c>
    </row>
    <row r="45">
      <c r="A45" s="16" t="n"/>
      <c r="B45" s="21" t="n"/>
      <c r="C45" s="16" t="n"/>
      <c r="D45" s="16" t="n"/>
      <c r="E45" s="21" t="n"/>
      <c r="F45" s="21" t="n"/>
      <c r="G45" s="16" t="n"/>
      <c r="H45" s="21" t="n"/>
      <c r="I45" s="23" t="n"/>
      <c r="J45" s="31" t="n"/>
      <c r="K45" s="23" t="n"/>
      <c r="L45" s="31" t="n"/>
      <c r="M45" s="21" t="n"/>
      <c r="N45" s="21" t="n"/>
      <c r="O45" s="28">
        <f>IF(A45="","",IF(SUMPRODUCT((Plans!$A$3:$A$300=A45)*(Plans!$B$3:$B$300=B45)*(Plans!$C$3:$C$300=C45))=0,"PLAN INCONNU","ok"))</f>
        <v/>
      </c>
    </row>
    <row r="46">
      <c r="A46" s="16" t="n"/>
      <c r="B46" s="21" t="n"/>
      <c r="C46" s="16" t="n"/>
      <c r="D46" s="16" t="n"/>
      <c r="E46" s="21" t="n"/>
      <c r="F46" s="21" t="n"/>
      <c r="G46" s="16" t="n"/>
      <c r="H46" s="21" t="n"/>
      <c r="I46" s="23" t="n"/>
      <c r="J46" s="31" t="n"/>
      <c r="K46" s="23" t="n"/>
      <c r="L46" s="31" t="n"/>
      <c r="M46" s="21" t="n"/>
      <c r="N46" s="21" t="n"/>
      <c r="O46" s="28">
        <f>IF(A46="","",IF(SUMPRODUCT((Plans!$A$3:$A$300=A46)*(Plans!$B$3:$B$300=B46)*(Plans!$C$3:$C$300=C46))=0,"PLAN INCONNU","ok"))</f>
        <v/>
      </c>
    </row>
    <row r="47">
      <c r="A47" s="16" t="n"/>
      <c r="B47" s="21" t="n"/>
      <c r="C47" s="16" t="n"/>
      <c r="D47" s="16" t="n"/>
      <c r="E47" s="21" t="n"/>
      <c r="F47" s="21" t="n"/>
      <c r="G47" s="16" t="n"/>
      <c r="H47" s="21" t="n"/>
      <c r="I47" s="23" t="n"/>
      <c r="J47" s="31" t="n"/>
      <c r="K47" s="23" t="n"/>
      <c r="L47" s="31" t="n"/>
      <c r="M47" s="21" t="n"/>
      <c r="N47" s="21" t="n"/>
      <c r="O47" s="28">
        <f>IF(A47="","",IF(SUMPRODUCT((Plans!$A$3:$A$300=A47)*(Plans!$B$3:$B$300=B47)*(Plans!$C$3:$C$300=C47))=0,"PLAN INCONNU","ok"))</f>
        <v/>
      </c>
    </row>
    <row r="48">
      <c r="A48" s="16" t="n"/>
      <c r="B48" s="21" t="n"/>
      <c r="C48" s="16" t="n"/>
      <c r="D48" s="16" t="n"/>
      <c r="E48" s="21" t="n"/>
      <c r="F48" s="21" t="n"/>
      <c r="G48" s="16" t="n"/>
      <c r="H48" s="21" t="n"/>
      <c r="I48" s="23" t="n"/>
      <c r="J48" s="31" t="n"/>
      <c r="K48" s="23" t="n"/>
      <c r="L48" s="31" t="n"/>
      <c r="M48" s="21" t="n"/>
      <c r="N48" s="21" t="n"/>
      <c r="O48" s="28">
        <f>IF(A48="","",IF(SUMPRODUCT((Plans!$A$3:$A$300=A48)*(Plans!$B$3:$B$300=B48)*(Plans!$C$3:$C$300=C48))=0,"PLAN INCONNU","ok"))</f>
        <v/>
      </c>
    </row>
    <row r="49">
      <c r="A49" s="16" t="n"/>
      <c r="B49" s="21" t="n"/>
      <c r="C49" s="16" t="n"/>
      <c r="D49" s="16" t="n"/>
      <c r="E49" s="21" t="n"/>
      <c r="F49" s="21" t="n"/>
      <c r="G49" s="16" t="n"/>
      <c r="H49" s="21" t="n"/>
      <c r="I49" s="23" t="n"/>
      <c r="J49" s="31" t="n"/>
      <c r="K49" s="23" t="n"/>
      <c r="L49" s="31" t="n"/>
      <c r="M49" s="21" t="n"/>
      <c r="N49" s="21" t="n"/>
      <c r="O49" s="28">
        <f>IF(A49="","",IF(SUMPRODUCT((Plans!$A$3:$A$300=A49)*(Plans!$B$3:$B$300=B49)*(Plans!$C$3:$C$300=C49))=0,"PLAN INCONNU","ok"))</f>
        <v/>
      </c>
    </row>
    <row r="50">
      <c r="A50" s="16" t="n"/>
      <c r="B50" s="21" t="n"/>
      <c r="C50" s="16" t="n"/>
      <c r="D50" s="16" t="n"/>
      <c r="E50" s="21" t="n"/>
      <c r="F50" s="21" t="n"/>
      <c r="G50" s="16" t="n"/>
      <c r="H50" s="21" t="n"/>
      <c r="I50" s="23" t="n"/>
      <c r="J50" s="31" t="n"/>
      <c r="K50" s="23" t="n"/>
      <c r="L50" s="31" t="n"/>
      <c r="M50" s="21" t="n"/>
      <c r="N50" s="21" t="n"/>
      <c r="O50" s="28">
        <f>IF(A50="","",IF(SUMPRODUCT((Plans!$A$3:$A$300=A50)*(Plans!$B$3:$B$300=B50)*(Plans!$C$3:$C$300=C50))=0,"PLAN INCONNU","ok"))</f>
        <v/>
      </c>
    </row>
    <row r="51">
      <c r="A51" s="16" t="n"/>
      <c r="B51" s="21" t="n"/>
      <c r="C51" s="16" t="n"/>
      <c r="D51" s="16" t="n"/>
      <c r="E51" s="21" t="n"/>
      <c r="F51" s="21" t="n"/>
      <c r="G51" s="16" t="n"/>
      <c r="H51" s="21" t="n"/>
      <c r="I51" s="23" t="n"/>
      <c r="J51" s="31" t="n"/>
      <c r="K51" s="23" t="n"/>
      <c r="L51" s="31" t="n"/>
      <c r="M51" s="21" t="n"/>
      <c r="N51" s="21" t="n"/>
      <c r="O51" s="28">
        <f>IF(A51="","",IF(SUMPRODUCT((Plans!$A$3:$A$300=A51)*(Plans!$B$3:$B$300=B51)*(Plans!$C$3:$C$300=C51))=0,"PLAN INCONNU","ok"))</f>
        <v/>
      </c>
    </row>
    <row r="52">
      <c r="A52" s="16" t="n"/>
      <c r="B52" s="21" t="n"/>
      <c r="C52" s="16" t="n"/>
      <c r="D52" s="16" t="n"/>
      <c r="E52" s="21" t="n"/>
      <c r="F52" s="21" t="n"/>
      <c r="G52" s="16" t="n"/>
      <c r="H52" s="21" t="n"/>
      <c r="I52" s="23" t="n"/>
      <c r="J52" s="31" t="n"/>
      <c r="K52" s="23" t="n"/>
      <c r="L52" s="31" t="n"/>
      <c r="M52" s="21" t="n"/>
      <c r="N52" s="21" t="n"/>
      <c r="O52" s="28">
        <f>IF(A52="","",IF(SUMPRODUCT((Plans!$A$3:$A$300=A52)*(Plans!$B$3:$B$300=B52)*(Plans!$C$3:$C$300=C52))=0,"PLAN INCONNU","ok"))</f>
        <v/>
      </c>
    </row>
    <row r="53">
      <c r="A53" s="16" t="n"/>
      <c r="B53" s="21" t="n"/>
      <c r="C53" s="16" t="n"/>
      <c r="D53" s="16" t="n"/>
      <c r="E53" s="21" t="n"/>
      <c r="F53" s="21" t="n"/>
      <c r="G53" s="16" t="n"/>
      <c r="H53" s="21" t="n"/>
      <c r="I53" s="23" t="n"/>
      <c r="J53" s="31" t="n"/>
      <c r="K53" s="23" t="n"/>
      <c r="L53" s="31" t="n"/>
      <c r="M53" s="21" t="n"/>
      <c r="N53" s="21" t="n"/>
      <c r="O53" s="28">
        <f>IF(A53="","",IF(SUMPRODUCT((Plans!$A$3:$A$300=A53)*(Plans!$B$3:$B$300=B53)*(Plans!$C$3:$C$300=C53))=0,"PLAN INCONNU","ok"))</f>
        <v/>
      </c>
    </row>
    <row r="54">
      <c r="A54" s="16" t="n"/>
      <c r="B54" s="21" t="n"/>
      <c r="C54" s="16" t="n"/>
      <c r="D54" s="16" t="n"/>
      <c r="E54" s="21" t="n"/>
      <c r="F54" s="21" t="n"/>
      <c r="G54" s="16" t="n"/>
      <c r="H54" s="21" t="n"/>
      <c r="I54" s="23" t="n"/>
      <c r="J54" s="31" t="n"/>
      <c r="K54" s="23" t="n"/>
      <c r="L54" s="31" t="n"/>
      <c r="M54" s="21" t="n"/>
      <c r="N54" s="21" t="n"/>
      <c r="O54" s="28">
        <f>IF(A54="","",IF(SUMPRODUCT((Plans!$A$3:$A$300=A54)*(Plans!$B$3:$B$300=B54)*(Plans!$C$3:$C$300=C54))=0,"PLAN INCONNU","ok"))</f>
        <v/>
      </c>
    </row>
    <row r="55">
      <c r="A55" s="16" t="n"/>
      <c r="B55" s="21" t="n"/>
      <c r="C55" s="16" t="n"/>
      <c r="D55" s="16" t="n"/>
      <c r="E55" s="21" t="n"/>
      <c r="F55" s="21" t="n"/>
      <c r="G55" s="16" t="n"/>
      <c r="H55" s="21" t="n"/>
      <c r="I55" s="23" t="n"/>
      <c r="J55" s="31" t="n"/>
      <c r="K55" s="23" t="n"/>
      <c r="L55" s="31" t="n"/>
      <c r="M55" s="21" t="n"/>
      <c r="N55" s="21" t="n"/>
      <c r="O55" s="28">
        <f>IF(A55="","",IF(SUMPRODUCT((Plans!$A$3:$A$300=A55)*(Plans!$B$3:$B$300=B55)*(Plans!$C$3:$C$300=C55))=0,"PLAN INCONNU","ok"))</f>
        <v/>
      </c>
    </row>
    <row r="56">
      <c r="A56" s="16" t="n"/>
      <c r="B56" s="21" t="n"/>
      <c r="C56" s="16" t="n"/>
      <c r="D56" s="16" t="n"/>
      <c r="E56" s="21" t="n"/>
      <c r="F56" s="21" t="n"/>
      <c r="G56" s="16" t="n"/>
      <c r="H56" s="21" t="n"/>
      <c r="I56" s="23" t="n"/>
      <c r="J56" s="31" t="n"/>
      <c r="K56" s="23" t="n"/>
      <c r="L56" s="31" t="n"/>
      <c r="M56" s="21" t="n"/>
      <c r="N56" s="21" t="n"/>
      <c r="O56" s="28">
        <f>IF(A56="","",IF(SUMPRODUCT((Plans!$A$3:$A$300=A56)*(Plans!$B$3:$B$300=B56)*(Plans!$C$3:$C$300=C56))=0,"PLAN INCONNU","ok"))</f>
        <v/>
      </c>
    </row>
    <row r="57">
      <c r="A57" s="16" t="n"/>
      <c r="B57" s="21" t="n"/>
      <c r="C57" s="16" t="n"/>
      <c r="D57" s="16" t="n"/>
      <c r="E57" s="21" t="n"/>
      <c r="F57" s="21" t="n"/>
      <c r="G57" s="16" t="n"/>
      <c r="H57" s="21" t="n"/>
      <c r="I57" s="23" t="n"/>
      <c r="J57" s="31" t="n"/>
      <c r="K57" s="23" t="n"/>
      <c r="L57" s="31" t="n"/>
      <c r="M57" s="21" t="n"/>
      <c r="N57" s="21" t="n"/>
      <c r="O57" s="28">
        <f>IF(A57="","",IF(SUMPRODUCT((Plans!$A$3:$A$300=A57)*(Plans!$B$3:$B$300=B57)*(Plans!$C$3:$C$300=C57))=0,"PLAN INCONNU","ok"))</f>
        <v/>
      </c>
    </row>
    <row r="58">
      <c r="A58" s="16" t="n"/>
      <c r="B58" s="21" t="n"/>
      <c r="C58" s="16" t="n"/>
      <c r="D58" s="16" t="n"/>
      <c r="E58" s="21" t="n"/>
      <c r="F58" s="21" t="n"/>
      <c r="G58" s="16" t="n"/>
      <c r="H58" s="21" t="n"/>
      <c r="I58" s="23" t="n"/>
      <c r="J58" s="31" t="n"/>
      <c r="K58" s="23" t="n"/>
      <c r="L58" s="31" t="n"/>
      <c r="M58" s="21" t="n"/>
      <c r="N58" s="21" t="n"/>
      <c r="O58" s="28">
        <f>IF(A58="","",IF(SUMPRODUCT((Plans!$A$3:$A$300=A58)*(Plans!$B$3:$B$300=B58)*(Plans!$C$3:$C$300=C58))=0,"PLAN INCONNU","ok"))</f>
        <v/>
      </c>
    </row>
    <row r="59">
      <c r="A59" s="16" t="n"/>
      <c r="B59" s="21" t="n"/>
      <c r="C59" s="16" t="n"/>
      <c r="D59" s="16" t="n"/>
      <c r="E59" s="21" t="n"/>
      <c r="F59" s="21" t="n"/>
      <c r="G59" s="16" t="n"/>
      <c r="H59" s="21" t="n"/>
      <c r="I59" s="23" t="n"/>
      <c r="J59" s="31" t="n"/>
      <c r="K59" s="23" t="n"/>
      <c r="L59" s="31" t="n"/>
      <c r="M59" s="21" t="n"/>
      <c r="N59" s="21" t="n"/>
      <c r="O59" s="28">
        <f>IF(A59="","",IF(SUMPRODUCT((Plans!$A$3:$A$300=A59)*(Plans!$B$3:$B$300=B59)*(Plans!$C$3:$C$300=C59))=0,"PLAN INCONNU","ok"))</f>
        <v/>
      </c>
    </row>
    <row r="60">
      <c r="A60" s="16" t="n"/>
      <c r="B60" s="21" t="n"/>
      <c r="C60" s="16" t="n"/>
      <c r="D60" s="16" t="n"/>
      <c r="E60" s="21" t="n"/>
      <c r="F60" s="21" t="n"/>
      <c r="G60" s="16" t="n"/>
      <c r="H60" s="21" t="n"/>
      <c r="I60" s="23" t="n"/>
      <c r="J60" s="31" t="n"/>
      <c r="K60" s="23" t="n"/>
      <c r="L60" s="31" t="n"/>
      <c r="M60" s="21" t="n"/>
      <c r="N60" s="21" t="n"/>
      <c r="O60" s="28">
        <f>IF(A60="","",IF(SUMPRODUCT((Plans!$A$3:$A$300=A60)*(Plans!$B$3:$B$300=B60)*(Plans!$C$3:$C$300=C60))=0,"PLAN INCONNU","ok"))</f>
        <v/>
      </c>
    </row>
    <row r="61">
      <c r="A61" s="16" t="n"/>
      <c r="B61" s="21" t="n"/>
      <c r="C61" s="16" t="n"/>
      <c r="D61" s="16" t="n"/>
      <c r="E61" s="21" t="n"/>
      <c r="F61" s="21" t="n"/>
      <c r="G61" s="16" t="n"/>
      <c r="H61" s="21" t="n"/>
      <c r="I61" s="23" t="n"/>
      <c r="J61" s="31" t="n"/>
      <c r="K61" s="23" t="n"/>
      <c r="L61" s="31" t="n"/>
      <c r="M61" s="21" t="n"/>
      <c r="N61" s="21" t="n"/>
      <c r="O61" s="28">
        <f>IF(A61="","",IF(SUMPRODUCT((Plans!$A$3:$A$300=A61)*(Plans!$B$3:$B$300=B61)*(Plans!$C$3:$C$300=C61))=0,"PLAN INCONNU","ok"))</f>
        <v/>
      </c>
    </row>
    <row r="62">
      <c r="A62" s="16" t="n"/>
      <c r="B62" s="21" t="n"/>
      <c r="C62" s="16" t="n"/>
      <c r="D62" s="16" t="n"/>
      <c r="E62" s="21" t="n"/>
      <c r="F62" s="21" t="n"/>
      <c r="G62" s="16" t="n"/>
      <c r="H62" s="21" t="n"/>
      <c r="I62" s="23" t="n"/>
      <c r="J62" s="31" t="n"/>
      <c r="K62" s="23" t="n"/>
      <c r="L62" s="31" t="n"/>
      <c r="M62" s="21" t="n"/>
      <c r="N62" s="21" t="n"/>
      <c r="O62" s="28">
        <f>IF(A62="","",IF(SUMPRODUCT((Plans!$A$3:$A$300=A62)*(Plans!$B$3:$B$300=B62)*(Plans!$C$3:$C$300=C62))=0,"PLAN INCONNU","ok"))</f>
        <v/>
      </c>
    </row>
    <row r="63">
      <c r="A63" s="16" t="n"/>
      <c r="B63" s="21" t="n"/>
      <c r="C63" s="16" t="n"/>
      <c r="D63" s="16" t="n"/>
      <c r="E63" s="21" t="n"/>
      <c r="F63" s="21" t="n"/>
      <c r="G63" s="16" t="n"/>
      <c r="H63" s="21" t="n"/>
      <c r="I63" s="23" t="n"/>
      <c r="J63" s="31" t="n"/>
      <c r="K63" s="23" t="n"/>
      <c r="L63" s="31" t="n"/>
      <c r="M63" s="21" t="n"/>
      <c r="N63" s="21" t="n"/>
      <c r="O63" s="28">
        <f>IF(A63="","",IF(SUMPRODUCT((Plans!$A$3:$A$300=A63)*(Plans!$B$3:$B$300=B63)*(Plans!$C$3:$C$300=C63))=0,"PLAN INCONNU","ok"))</f>
        <v/>
      </c>
    </row>
    <row r="64">
      <c r="A64" s="16" t="n"/>
      <c r="B64" s="21" t="n"/>
      <c r="C64" s="16" t="n"/>
      <c r="D64" s="16" t="n"/>
      <c r="E64" s="21" t="n"/>
      <c r="F64" s="21" t="n"/>
      <c r="G64" s="16" t="n"/>
      <c r="H64" s="21" t="n"/>
      <c r="I64" s="23" t="n"/>
      <c r="J64" s="31" t="n"/>
      <c r="K64" s="23" t="n"/>
      <c r="L64" s="31" t="n"/>
      <c r="M64" s="21" t="n"/>
      <c r="N64" s="21" t="n"/>
      <c r="O64" s="28">
        <f>IF(A64="","",IF(SUMPRODUCT((Plans!$A$3:$A$300=A64)*(Plans!$B$3:$B$300=B64)*(Plans!$C$3:$C$300=C64))=0,"PLAN INCONNU","ok"))</f>
        <v/>
      </c>
    </row>
    <row r="65">
      <c r="A65" s="16" t="n"/>
      <c r="B65" s="21" t="n"/>
      <c r="C65" s="16" t="n"/>
      <c r="D65" s="16" t="n"/>
      <c r="E65" s="21" t="n"/>
      <c r="F65" s="21" t="n"/>
      <c r="G65" s="16" t="n"/>
      <c r="H65" s="21" t="n"/>
      <c r="I65" s="23" t="n"/>
      <c r="J65" s="31" t="n"/>
      <c r="K65" s="23" t="n"/>
      <c r="L65" s="31" t="n"/>
      <c r="M65" s="21" t="n"/>
      <c r="N65" s="21" t="n"/>
      <c r="O65" s="28">
        <f>IF(A65="","",IF(SUMPRODUCT((Plans!$A$3:$A$300=A65)*(Plans!$B$3:$B$300=B65)*(Plans!$C$3:$C$300=C65))=0,"PLAN INCONNU","ok"))</f>
        <v/>
      </c>
    </row>
    <row r="66">
      <c r="A66" s="16" t="n"/>
      <c r="B66" s="21" t="n"/>
      <c r="C66" s="16" t="n"/>
      <c r="D66" s="16" t="n"/>
      <c r="E66" s="21" t="n"/>
      <c r="F66" s="21" t="n"/>
      <c r="G66" s="16" t="n"/>
      <c r="H66" s="21" t="n"/>
      <c r="I66" s="23" t="n"/>
      <c r="J66" s="31" t="n"/>
      <c r="K66" s="23" t="n"/>
      <c r="L66" s="31" t="n"/>
      <c r="M66" s="21" t="n"/>
      <c r="N66" s="21" t="n"/>
      <c r="O66" s="28">
        <f>IF(A66="","",IF(SUMPRODUCT((Plans!$A$3:$A$300=A66)*(Plans!$B$3:$B$300=B66)*(Plans!$C$3:$C$300=C66))=0,"PLAN INCONNU","ok"))</f>
        <v/>
      </c>
    </row>
    <row r="67">
      <c r="A67" s="16" t="n"/>
      <c r="B67" s="21" t="n"/>
      <c r="C67" s="16" t="n"/>
      <c r="D67" s="16" t="n"/>
      <c r="E67" s="21" t="n"/>
      <c r="F67" s="21" t="n"/>
      <c r="G67" s="16" t="n"/>
      <c r="H67" s="21" t="n"/>
      <c r="I67" s="23" t="n"/>
      <c r="J67" s="31" t="n"/>
      <c r="K67" s="23" t="n"/>
      <c r="L67" s="31" t="n"/>
      <c r="M67" s="21" t="n"/>
      <c r="N67" s="21" t="n"/>
      <c r="O67" s="28">
        <f>IF(A67="","",IF(SUMPRODUCT((Plans!$A$3:$A$300=A67)*(Plans!$B$3:$B$300=B67)*(Plans!$C$3:$C$300=C67))=0,"PLAN INCONNU","ok"))</f>
        <v/>
      </c>
    </row>
    <row r="68">
      <c r="A68" s="16" t="n"/>
      <c r="B68" s="21" t="n"/>
      <c r="C68" s="16" t="n"/>
      <c r="D68" s="16" t="n"/>
      <c r="E68" s="21" t="n"/>
      <c r="F68" s="21" t="n"/>
      <c r="G68" s="16" t="n"/>
      <c r="H68" s="21" t="n"/>
      <c r="I68" s="23" t="n"/>
      <c r="J68" s="31" t="n"/>
      <c r="K68" s="23" t="n"/>
      <c r="L68" s="31" t="n"/>
      <c r="M68" s="21" t="n"/>
      <c r="N68" s="21" t="n"/>
      <c r="O68" s="28">
        <f>IF(A68="","",IF(SUMPRODUCT((Plans!$A$3:$A$300=A68)*(Plans!$B$3:$B$300=B68)*(Plans!$C$3:$C$300=C68))=0,"PLAN INCONNU","ok"))</f>
        <v/>
      </c>
    </row>
    <row r="69">
      <c r="A69" s="16" t="n"/>
      <c r="B69" s="21" t="n"/>
      <c r="C69" s="16" t="n"/>
      <c r="D69" s="16" t="n"/>
      <c r="E69" s="21" t="n"/>
      <c r="F69" s="21" t="n"/>
      <c r="G69" s="16" t="n"/>
      <c r="H69" s="21" t="n"/>
      <c r="I69" s="23" t="n"/>
      <c r="J69" s="31" t="n"/>
      <c r="K69" s="23" t="n"/>
      <c r="L69" s="31" t="n"/>
      <c r="M69" s="21" t="n"/>
      <c r="N69" s="21" t="n"/>
      <c r="O69" s="28">
        <f>IF(A69="","",IF(SUMPRODUCT((Plans!$A$3:$A$300=A69)*(Plans!$B$3:$B$300=B69)*(Plans!$C$3:$C$300=C69))=0,"PLAN INCONNU","ok"))</f>
        <v/>
      </c>
    </row>
    <row r="70">
      <c r="A70" s="16" t="n"/>
      <c r="B70" s="21" t="n"/>
      <c r="C70" s="16" t="n"/>
      <c r="D70" s="16" t="n"/>
      <c r="E70" s="21" t="n"/>
      <c r="F70" s="21" t="n"/>
      <c r="G70" s="16" t="n"/>
      <c r="H70" s="21" t="n"/>
      <c r="I70" s="23" t="n"/>
      <c r="J70" s="31" t="n"/>
      <c r="K70" s="23" t="n"/>
      <c r="L70" s="31" t="n"/>
      <c r="M70" s="21" t="n"/>
      <c r="N70" s="21" t="n"/>
      <c r="O70" s="28">
        <f>IF(A70="","",IF(SUMPRODUCT((Plans!$A$3:$A$300=A70)*(Plans!$B$3:$B$300=B70)*(Plans!$C$3:$C$300=C70))=0,"PLAN INCONNU","ok"))</f>
        <v/>
      </c>
    </row>
    <row r="71">
      <c r="A71" s="16" t="n"/>
      <c r="B71" s="21" t="n"/>
      <c r="C71" s="16" t="n"/>
      <c r="D71" s="16" t="n"/>
      <c r="E71" s="21" t="n"/>
      <c r="F71" s="21" t="n"/>
      <c r="G71" s="16" t="n"/>
      <c r="H71" s="21" t="n"/>
      <c r="I71" s="23" t="n"/>
      <c r="J71" s="31" t="n"/>
      <c r="K71" s="23" t="n"/>
      <c r="L71" s="31" t="n"/>
      <c r="M71" s="21" t="n"/>
      <c r="N71" s="21" t="n"/>
      <c r="O71" s="28">
        <f>IF(A71="","",IF(SUMPRODUCT((Plans!$A$3:$A$300=A71)*(Plans!$B$3:$B$300=B71)*(Plans!$C$3:$C$300=C71))=0,"PLAN INCONNU","ok"))</f>
        <v/>
      </c>
    </row>
    <row r="72">
      <c r="A72" s="16" t="n"/>
      <c r="B72" s="21" t="n"/>
      <c r="C72" s="16" t="n"/>
      <c r="D72" s="16" t="n"/>
      <c r="E72" s="21" t="n"/>
      <c r="F72" s="21" t="n"/>
      <c r="G72" s="16" t="n"/>
      <c r="H72" s="21" t="n"/>
      <c r="I72" s="23" t="n"/>
      <c r="J72" s="31" t="n"/>
      <c r="K72" s="23" t="n"/>
      <c r="L72" s="31" t="n"/>
      <c r="M72" s="21" t="n"/>
      <c r="N72" s="21" t="n"/>
      <c r="O72" s="28">
        <f>IF(A72="","",IF(SUMPRODUCT((Plans!$A$3:$A$300=A72)*(Plans!$B$3:$B$300=B72)*(Plans!$C$3:$C$300=C72))=0,"PLAN INCONNU","ok"))</f>
        <v/>
      </c>
    </row>
    <row r="73">
      <c r="A73" s="16" t="n"/>
      <c r="B73" s="21" t="n"/>
      <c r="C73" s="16" t="n"/>
      <c r="D73" s="16" t="n"/>
      <c r="E73" s="21" t="n"/>
      <c r="F73" s="21" t="n"/>
      <c r="G73" s="16" t="n"/>
      <c r="H73" s="21" t="n"/>
      <c r="I73" s="23" t="n"/>
      <c r="J73" s="31" t="n"/>
      <c r="K73" s="23" t="n"/>
      <c r="L73" s="31" t="n"/>
      <c r="M73" s="21" t="n"/>
      <c r="N73" s="21" t="n"/>
      <c r="O73" s="28">
        <f>IF(A73="","",IF(SUMPRODUCT((Plans!$A$3:$A$300=A73)*(Plans!$B$3:$B$300=B73)*(Plans!$C$3:$C$300=C73))=0,"PLAN INCONNU","ok"))</f>
        <v/>
      </c>
    </row>
    <row r="74">
      <c r="A74" s="16" t="n"/>
      <c r="B74" s="21" t="n"/>
      <c r="C74" s="16" t="n"/>
      <c r="D74" s="16" t="n"/>
      <c r="E74" s="21" t="n"/>
      <c r="F74" s="21" t="n"/>
      <c r="G74" s="16" t="n"/>
      <c r="H74" s="21" t="n"/>
      <c r="I74" s="23" t="n"/>
      <c r="J74" s="31" t="n"/>
      <c r="K74" s="23" t="n"/>
      <c r="L74" s="31" t="n"/>
      <c r="M74" s="21" t="n"/>
      <c r="N74" s="21" t="n"/>
      <c r="O74" s="28">
        <f>IF(A74="","",IF(SUMPRODUCT((Plans!$A$3:$A$300=A74)*(Plans!$B$3:$B$300=B74)*(Plans!$C$3:$C$300=C74))=0,"PLAN INCONNU","ok"))</f>
        <v/>
      </c>
    </row>
    <row r="75">
      <c r="A75" s="16" t="n"/>
      <c r="B75" s="21" t="n"/>
      <c r="C75" s="16" t="n"/>
      <c r="D75" s="16" t="n"/>
      <c r="E75" s="21" t="n"/>
      <c r="F75" s="21" t="n"/>
      <c r="G75" s="16" t="n"/>
      <c r="H75" s="21" t="n"/>
      <c r="I75" s="23" t="n"/>
      <c r="J75" s="31" t="n"/>
      <c r="K75" s="23" t="n"/>
      <c r="L75" s="31" t="n"/>
      <c r="M75" s="21" t="n"/>
      <c r="N75" s="21" t="n"/>
      <c r="O75" s="28">
        <f>IF(A75="","",IF(SUMPRODUCT((Plans!$A$3:$A$300=A75)*(Plans!$B$3:$B$300=B75)*(Plans!$C$3:$C$300=C75))=0,"PLAN INCONNU","ok"))</f>
        <v/>
      </c>
    </row>
    <row r="76">
      <c r="A76" s="16" t="n"/>
      <c r="B76" s="21" t="n"/>
      <c r="C76" s="16" t="n"/>
      <c r="D76" s="16" t="n"/>
      <c r="E76" s="21" t="n"/>
      <c r="F76" s="21" t="n"/>
      <c r="G76" s="16" t="n"/>
      <c r="H76" s="21" t="n"/>
      <c r="I76" s="23" t="n"/>
      <c r="J76" s="31" t="n"/>
      <c r="K76" s="23" t="n"/>
      <c r="L76" s="31" t="n"/>
      <c r="M76" s="21" t="n"/>
      <c r="N76" s="21" t="n"/>
      <c r="O76" s="28">
        <f>IF(A76="","",IF(SUMPRODUCT((Plans!$A$3:$A$300=A76)*(Plans!$B$3:$B$300=B76)*(Plans!$C$3:$C$300=C76))=0,"PLAN INCONNU","ok"))</f>
        <v/>
      </c>
    </row>
    <row r="77">
      <c r="A77" s="16" t="n"/>
      <c r="B77" s="21" t="n"/>
      <c r="C77" s="16" t="n"/>
      <c r="D77" s="16" t="n"/>
      <c r="E77" s="21" t="n"/>
      <c r="F77" s="21" t="n"/>
      <c r="G77" s="16" t="n"/>
      <c r="H77" s="21" t="n"/>
      <c r="I77" s="23" t="n"/>
      <c r="J77" s="31" t="n"/>
      <c r="K77" s="23" t="n"/>
      <c r="L77" s="31" t="n"/>
      <c r="M77" s="21" t="n"/>
      <c r="N77" s="21" t="n"/>
      <c r="O77" s="28">
        <f>IF(A77="","",IF(SUMPRODUCT((Plans!$A$3:$A$300=A77)*(Plans!$B$3:$B$300=B77)*(Plans!$C$3:$C$300=C77))=0,"PLAN INCONNU","ok"))</f>
        <v/>
      </c>
    </row>
    <row r="78">
      <c r="A78" s="16" t="n"/>
      <c r="B78" s="21" t="n"/>
      <c r="C78" s="16" t="n"/>
      <c r="D78" s="16" t="n"/>
      <c r="E78" s="21" t="n"/>
      <c r="F78" s="21" t="n"/>
      <c r="G78" s="16" t="n"/>
      <c r="H78" s="21" t="n"/>
      <c r="I78" s="23" t="n"/>
      <c r="J78" s="31" t="n"/>
      <c r="K78" s="23" t="n"/>
      <c r="L78" s="31" t="n"/>
      <c r="M78" s="21" t="n"/>
      <c r="N78" s="21" t="n"/>
      <c r="O78" s="28">
        <f>IF(A78="","",IF(SUMPRODUCT((Plans!$A$3:$A$300=A78)*(Plans!$B$3:$B$300=B78)*(Plans!$C$3:$C$300=C78))=0,"PLAN INCONNU","ok"))</f>
        <v/>
      </c>
    </row>
    <row r="79">
      <c r="A79" s="16" t="n"/>
      <c r="B79" s="21" t="n"/>
      <c r="C79" s="16" t="n"/>
      <c r="D79" s="16" t="n"/>
      <c r="E79" s="21" t="n"/>
      <c r="F79" s="21" t="n"/>
      <c r="G79" s="16" t="n"/>
      <c r="H79" s="21" t="n"/>
      <c r="I79" s="23" t="n"/>
      <c r="J79" s="31" t="n"/>
      <c r="K79" s="23" t="n"/>
      <c r="L79" s="31" t="n"/>
      <c r="M79" s="21" t="n"/>
      <c r="N79" s="21" t="n"/>
      <c r="O79" s="28">
        <f>IF(A79="","",IF(SUMPRODUCT((Plans!$A$3:$A$300=A79)*(Plans!$B$3:$B$300=B79)*(Plans!$C$3:$C$300=C79))=0,"PLAN INCONNU","ok"))</f>
        <v/>
      </c>
    </row>
    <row r="80">
      <c r="A80" s="16" t="n"/>
      <c r="B80" s="21" t="n"/>
      <c r="C80" s="16" t="n"/>
      <c r="D80" s="16" t="n"/>
      <c r="E80" s="21" t="n"/>
      <c r="F80" s="21" t="n"/>
      <c r="G80" s="16" t="n"/>
      <c r="H80" s="21" t="n"/>
      <c r="I80" s="23" t="n"/>
      <c r="J80" s="31" t="n"/>
      <c r="K80" s="23" t="n"/>
      <c r="L80" s="31" t="n"/>
      <c r="M80" s="21" t="n"/>
      <c r="N80" s="21" t="n"/>
      <c r="O80" s="28">
        <f>IF(A80="","",IF(SUMPRODUCT((Plans!$A$3:$A$300=A80)*(Plans!$B$3:$B$300=B80)*(Plans!$C$3:$C$300=C80))=0,"PLAN INCONNU","ok"))</f>
        <v/>
      </c>
    </row>
    <row r="81">
      <c r="A81" s="16" t="n"/>
      <c r="B81" s="21" t="n"/>
      <c r="C81" s="16" t="n"/>
      <c r="D81" s="16" t="n"/>
      <c r="E81" s="21" t="n"/>
      <c r="F81" s="21" t="n"/>
      <c r="G81" s="16" t="n"/>
      <c r="H81" s="21" t="n"/>
      <c r="I81" s="23" t="n"/>
      <c r="J81" s="31" t="n"/>
      <c r="K81" s="23" t="n"/>
      <c r="L81" s="31" t="n"/>
      <c r="M81" s="21" t="n"/>
      <c r="N81" s="21" t="n"/>
      <c r="O81" s="28">
        <f>IF(A81="","",IF(SUMPRODUCT((Plans!$A$3:$A$300=A81)*(Plans!$B$3:$B$300=B81)*(Plans!$C$3:$C$300=C81))=0,"PLAN INCONNU","ok"))</f>
        <v/>
      </c>
    </row>
    <row r="82">
      <c r="A82" s="16" t="n"/>
      <c r="B82" s="21" t="n"/>
      <c r="C82" s="16" t="n"/>
      <c r="D82" s="16" t="n"/>
      <c r="E82" s="21" t="n"/>
      <c r="F82" s="21" t="n"/>
      <c r="G82" s="16" t="n"/>
      <c r="H82" s="21" t="n"/>
      <c r="I82" s="23" t="n"/>
      <c r="J82" s="31" t="n"/>
      <c r="K82" s="23" t="n"/>
      <c r="L82" s="31" t="n"/>
      <c r="M82" s="21" t="n"/>
      <c r="N82" s="21" t="n"/>
      <c r="O82" s="28">
        <f>IF(A82="","",IF(SUMPRODUCT((Plans!$A$3:$A$300=A82)*(Plans!$B$3:$B$300=B82)*(Plans!$C$3:$C$300=C82))=0,"PLAN INCONNU","ok"))</f>
        <v/>
      </c>
    </row>
    <row r="83">
      <c r="A83" s="16" t="n"/>
      <c r="B83" s="21" t="n"/>
      <c r="C83" s="16" t="n"/>
      <c r="D83" s="16" t="n"/>
      <c r="E83" s="21" t="n"/>
      <c r="F83" s="21" t="n"/>
      <c r="G83" s="16" t="n"/>
      <c r="H83" s="21" t="n"/>
      <c r="I83" s="23" t="n"/>
      <c r="J83" s="31" t="n"/>
      <c r="K83" s="23" t="n"/>
      <c r="L83" s="31" t="n"/>
      <c r="M83" s="21" t="n"/>
      <c r="N83" s="21" t="n"/>
      <c r="O83" s="28">
        <f>IF(A83="","",IF(SUMPRODUCT((Plans!$A$3:$A$300=A83)*(Plans!$B$3:$B$300=B83)*(Plans!$C$3:$C$300=C83))=0,"PLAN INCONNU","ok"))</f>
        <v/>
      </c>
    </row>
    <row r="84">
      <c r="A84" s="16" t="n"/>
      <c r="B84" s="21" t="n"/>
      <c r="C84" s="16" t="n"/>
      <c r="D84" s="16" t="n"/>
      <c r="E84" s="21" t="n"/>
      <c r="F84" s="21" t="n"/>
      <c r="G84" s="16" t="n"/>
      <c r="H84" s="21" t="n"/>
      <c r="I84" s="23" t="n"/>
      <c r="J84" s="31" t="n"/>
      <c r="K84" s="23" t="n"/>
      <c r="L84" s="31" t="n"/>
      <c r="M84" s="21" t="n"/>
      <c r="N84" s="21" t="n"/>
      <c r="O84" s="28">
        <f>IF(A84="","",IF(SUMPRODUCT((Plans!$A$3:$A$300=A84)*(Plans!$B$3:$B$300=B84)*(Plans!$C$3:$C$300=C84))=0,"PLAN INCONNU","ok"))</f>
        <v/>
      </c>
    </row>
    <row r="85">
      <c r="A85" s="16" t="n"/>
      <c r="B85" s="21" t="n"/>
      <c r="C85" s="16" t="n"/>
      <c r="D85" s="16" t="n"/>
      <c r="E85" s="21" t="n"/>
      <c r="F85" s="21" t="n"/>
      <c r="G85" s="16" t="n"/>
      <c r="H85" s="21" t="n"/>
      <c r="I85" s="23" t="n"/>
      <c r="J85" s="31" t="n"/>
      <c r="K85" s="23" t="n"/>
      <c r="L85" s="31" t="n"/>
      <c r="M85" s="21" t="n"/>
      <c r="N85" s="21" t="n"/>
      <c r="O85" s="28">
        <f>IF(A85="","",IF(SUMPRODUCT((Plans!$A$3:$A$300=A85)*(Plans!$B$3:$B$300=B85)*(Plans!$C$3:$C$300=C85))=0,"PLAN INCONNU","ok"))</f>
        <v/>
      </c>
    </row>
    <row r="86">
      <c r="A86" s="16" t="n"/>
      <c r="B86" s="21" t="n"/>
      <c r="C86" s="16" t="n"/>
      <c r="D86" s="16" t="n"/>
      <c r="E86" s="21" t="n"/>
      <c r="F86" s="21" t="n"/>
      <c r="G86" s="16" t="n"/>
      <c r="H86" s="21" t="n"/>
      <c r="I86" s="23" t="n"/>
      <c r="J86" s="31" t="n"/>
      <c r="K86" s="23" t="n"/>
      <c r="L86" s="31" t="n"/>
      <c r="M86" s="21" t="n"/>
      <c r="N86" s="21" t="n"/>
      <c r="O86" s="28">
        <f>IF(A86="","",IF(SUMPRODUCT((Plans!$A$3:$A$300=A86)*(Plans!$B$3:$B$300=B86)*(Plans!$C$3:$C$300=C86))=0,"PLAN INCONNU","ok"))</f>
        <v/>
      </c>
    </row>
    <row r="87">
      <c r="A87" s="16" t="n"/>
      <c r="B87" s="21" t="n"/>
      <c r="C87" s="16" t="n"/>
      <c r="D87" s="16" t="n"/>
      <c r="E87" s="21" t="n"/>
      <c r="F87" s="21" t="n"/>
      <c r="G87" s="16" t="n"/>
      <c r="H87" s="21" t="n"/>
      <c r="I87" s="23" t="n"/>
      <c r="J87" s="31" t="n"/>
      <c r="K87" s="23" t="n"/>
      <c r="L87" s="31" t="n"/>
      <c r="M87" s="21" t="n"/>
      <c r="N87" s="21" t="n"/>
      <c r="O87" s="28">
        <f>IF(A87="","",IF(SUMPRODUCT((Plans!$A$3:$A$300=A87)*(Plans!$B$3:$B$300=B87)*(Plans!$C$3:$C$300=C87))=0,"PLAN INCONNU","ok"))</f>
        <v/>
      </c>
    </row>
    <row r="88">
      <c r="A88" s="16" t="n"/>
      <c r="B88" s="21" t="n"/>
      <c r="C88" s="16" t="n"/>
      <c r="D88" s="16" t="n"/>
      <c r="E88" s="21" t="n"/>
      <c r="F88" s="21" t="n"/>
      <c r="G88" s="16" t="n"/>
      <c r="H88" s="21" t="n"/>
      <c r="I88" s="23" t="n"/>
      <c r="J88" s="31" t="n"/>
      <c r="K88" s="23" t="n"/>
      <c r="L88" s="31" t="n"/>
      <c r="M88" s="21" t="n"/>
      <c r="N88" s="21" t="n"/>
      <c r="O88" s="28">
        <f>IF(A88="","",IF(SUMPRODUCT((Plans!$A$3:$A$300=A88)*(Plans!$B$3:$B$300=B88)*(Plans!$C$3:$C$300=C88))=0,"PLAN INCONNU","ok"))</f>
        <v/>
      </c>
    </row>
    <row r="89">
      <c r="A89" s="16" t="n"/>
      <c r="B89" s="21" t="n"/>
      <c r="C89" s="16" t="n"/>
      <c r="D89" s="16" t="n"/>
      <c r="E89" s="21" t="n"/>
      <c r="F89" s="21" t="n"/>
      <c r="G89" s="16" t="n"/>
      <c r="H89" s="21" t="n"/>
      <c r="I89" s="23" t="n"/>
      <c r="J89" s="31" t="n"/>
      <c r="K89" s="23" t="n"/>
      <c r="L89" s="31" t="n"/>
      <c r="M89" s="21" t="n"/>
      <c r="N89" s="21" t="n"/>
      <c r="O89" s="28">
        <f>IF(A89="","",IF(SUMPRODUCT((Plans!$A$3:$A$300=A89)*(Plans!$B$3:$B$300=B89)*(Plans!$C$3:$C$300=C89))=0,"PLAN INCONNU","ok"))</f>
        <v/>
      </c>
    </row>
    <row r="90">
      <c r="A90" s="16" t="n"/>
      <c r="B90" s="21" t="n"/>
      <c r="C90" s="16" t="n"/>
      <c r="D90" s="16" t="n"/>
      <c r="E90" s="21" t="n"/>
      <c r="F90" s="21" t="n"/>
      <c r="G90" s="16" t="n"/>
      <c r="H90" s="21" t="n"/>
      <c r="I90" s="23" t="n"/>
      <c r="J90" s="31" t="n"/>
      <c r="K90" s="23" t="n"/>
      <c r="L90" s="31" t="n"/>
      <c r="M90" s="21" t="n"/>
      <c r="N90" s="21" t="n"/>
      <c r="O90" s="28">
        <f>IF(A90="","",IF(SUMPRODUCT((Plans!$A$3:$A$300=A90)*(Plans!$B$3:$B$300=B90)*(Plans!$C$3:$C$300=C90))=0,"PLAN INCONNU","ok"))</f>
        <v/>
      </c>
    </row>
    <row r="91">
      <c r="A91" s="16" t="n"/>
      <c r="B91" s="21" t="n"/>
      <c r="C91" s="16" t="n"/>
      <c r="D91" s="16" t="n"/>
      <c r="E91" s="21" t="n"/>
      <c r="F91" s="21" t="n"/>
      <c r="G91" s="16" t="n"/>
      <c r="H91" s="21" t="n"/>
      <c r="I91" s="23" t="n"/>
      <c r="J91" s="31" t="n"/>
      <c r="K91" s="23" t="n"/>
      <c r="L91" s="31" t="n"/>
      <c r="M91" s="21" t="n"/>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inlineStr">
        <is>
          <t>SCANNED</t>
        </is>
      </c>
      <c r="C2" s="17" t="inlineStr">
        <is>
          <t>SCANNED</t>
        </is>
      </c>
      <c r="D2" s="18" t="inlineStr">
        <is>
          <t>La case pointillee « [CODE] », en haut et dans « Your selection ».</t>
        </is>
      </c>
    </row>
    <row r="3" ht="44" customHeight="1">
      <c r="A3" s="15" t="inlineStr">
        <is>
          <t>remise</t>
        </is>
      </c>
      <c r="B3" s="31" t="n">
        <v>0.2</v>
      </c>
      <c r="C3" s="30" t="n">
        <v>0.3</v>
      </c>
      <c r="D3" s="18" t="inlineStr">
        <is>
          <t>« [XX]% OFF » et « [XX]% with [CODE] ». En %.</t>
        </is>
      </c>
    </row>
    <row r="4" ht="44" customHeight="1">
      <c r="A4" s="15" t="inlineStr">
        <is>
          <t>portee</t>
        </is>
      </c>
      <c r="B4" s="16" t="inlineStr">
        <is>
          <t>non_confirmee</t>
        </is>
      </c>
      <c r="C4" s="17" t="inlineStr">
        <is>
          <t>non_confirmee</t>
        </is>
      </c>
      <c r="D4" s="18" t="inlineStr">
        <is>
          <t>non_confirmee → prix remise affiche avec « ≈ ». Sert aussi la reponse FAQ sur le code.</t>
        </is>
      </c>
    </row>
    <row r="5" ht="44" customHeight="1">
      <c r="A5" s="15" t="inlineStr">
        <is>
          <t>checkout_verifie</t>
        </is>
      </c>
      <c r="B5" s="16" t="inlineStr">
        <is>
          <t>non</t>
        </is>
      </c>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confirmed</t>
        </is>
      </c>
      <c r="C9" s="33" t="inlineStr">
        <is>
          <t>needs_confirmation</t>
        </is>
      </c>
      <c r="D9" s="18" t="inlineStr">
        <is>
          <t>Seule une offre confirmed s'affiche : remise, code, Copy code et Claim deal. Vide ou needs_confirmation : la carte garde le plan, le prix public et Continue to.</t>
        </is>
      </c>
    </row>
    <row r="10">
      <c r="A10" s="15" t="inlineStr">
        <is>
          <t>accroche</t>
        </is>
      </c>
      <c r="D10" s="15" t="inlineStr">
        <is>
          <t>Une phrase courte pour le bandeau de campagne du site : ce que l'offre donne, en plus du pourcentage. Vide : le bandeau n'affiche que la remise.</t>
        </is>
      </c>
    </row>
    <row r="11">
      <c r="A11" s="15" t="inlineStr">
        <is>
          <t>remise_campagne</t>
        </is>
      </c>
      <c r="D11" s="15" t="inlineStr">
        <is>
          <t>Taux d'une campagne a duree limitee, en %. Il remplace « remise » jusqu'a « campagne_fin », puis la fiche revient a « remise ».</t>
        </is>
      </c>
    </row>
    <row r="12">
      <c r="A12" s="15" t="inlineStr">
        <is>
          <t>campagne_fin</t>
        </is>
      </c>
      <c r="D12" s="15" t="inlineStr">
        <is>
          <t>Fin de la campagne, date et heure ISO. Passee, le taux de campagne et l'accroche disparaissent, l'offre permanente reste.</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inlineStr">
        <is>
          <t>Commissions and exchange fees are charged per instrument on each executed trade.</t>
        </is>
      </c>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inlineStr">
        <is>
          <t>Payout requests are reviewed in under 24 hours on average. Provider: Rise. KYC via Veriff: buyer, KYC holder and account operator must be the same person. Elite 25K funded: 90% split, $1,000 cap per request, $500 minimum.</t>
        </is>
      </c>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3" t="n">
        <v>1</v>
      </c>
      <c r="B3" s="16" t="inlineStr">
        <is>
          <t>evaluation</t>
        </is>
      </c>
      <c r="C3" s="16" t="inlineStr">
        <is>
          <t>Pass the evaluation</t>
        </is>
      </c>
      <c r="D3" s="16" t="inlineStr">
        <is>
          <t>One phase on Elite, Nitro and Prime: reach the profit objective without breaching the maximum loss. There is no deadline to pass. Minimum trading days differ by program, and Instant has no evaluation at all.</t>
        </is>
      </c>
    </row>
    <row r="4">
      <c r="A4" s="23" t="n">
        <v>2</v>
      </c>
      <c r="B4" s="16" t="inlineStr">
        <is>
          <t>funded</t>
        </is>
      </c>
      <c r="C4" s="16" t="inlineStr">
        <is>
          <t>Get the funded account</t>
        </is>
      </c>
      <c r="D4" s="16" t="inlineStr">
        <is>
          <t>The simulated funded account opens with no activation fee. Drawdown type and contract scaling change with the program, so the rules table above is the one that applies.</t>
        </is>
      </c>
    </row>
    <row r="5">
      <c r="A5" s="23" t="n">
        <v>3</v>
      </c>
      <c r="B5" s="16" t="inlineStr">
        <is>
          <t>payout</t>
        </is>
      </c>
      <c r="C5" s="16" t="inlineStr">
        <is>
          <t>Request your first payout</t>
        </is>
      </c>
      <c r="D5" s="16" t="inlineStr">
        <is>
          <t>Requests can be made every day and are reviewed in under 24 hours on average, then paid through Rise once KYC is done with Veriff. Each request is capped by account size, and minimum trading days apply first.</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n"/>
      <c r="B3" s="16" t="n"/>
      <c r="C3" s="23" t="n"/>
      <c r="D3" s="16" t="n"/>
      <c r="E3" s="16" t="n"/>
    </row>
    <row r="4">
      <c r="A4" s="16" t="n"/>
      <c r="B4" s="16" t="n"/>
      <c r="C4" s="23" t="n"/>
      <c r="D4" s="16" t="n"/>
      <c r="E4" s="16" t="n"/>
    </row>
    <row r="5">
      <c r="A5" s="16" t="n"/>
      <c r="B5" s="16" t="n"/>
      <c r="C5" s="23" t="n"/>
      <c r="D5" s="16" t="n"/>
      <c r="E5" s="16" t="n"/>
    </row>
    <row r="6">
      <c r="A6" s="16" t="n"/>
      <c r="B6" s="16" t="n"/>
      <c r="C6" s="23" t="n"/>
      <c r="D6" s="16" t="n"/>
      <c r="E6" s="16" t="n"/>
    </row>
    <row r="7">
      <c r="A7" s="16" t="n"/>
      <c r="B7" s="16" t="n"/>
      <c r="C7" s="23" t="n"/>
      <c r="D7" s="16" t="n"/>
      <c r="E7" s="16" t="n"/>
    </row>
    <row r="8">
      <c r="A8" s="16" t="n"/>
      <c r="B8" s="16" t="n"/>
      <c r="C8" s="23" t="n"/>
      <c r="D8" s="16" t="n"/>
      <c r="E8" s="16" t="n"/>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3" t="n">
        <v>1</v>
      </c>
      <c r="B3" s="16" t="inlineStr">
        <is>
          <t>Trading costs</t>
        </is>
      </c>
      <c r="C3" s="16" t="inlineStr">
        <is>
          <t>Per contract</t>
        </is>
      </c>
      <c r="D3" s="16" t="inlineStr">
        <is>
          <t>Commissions and exchange fees are charged per instrument on each executed trade.</t>
        </is>
      </c>
      <c r="E3" s="16" t="n"/>
    </row>
    <row r="4">
      <c r="A4" s="23" t="n"/>
      <c r="B4" s="16" t="n"/>
      <c r="C4" s="16" t="n"/>
      <c r="D4" s="16" t="n"/>
      <c r="E4" s="16" t="n"/>
    </row>
    <row r="5">
      <c r="A5" s="23" t="n"/>
      <c r="B5" s="16" t="n"/>
      <c r="C5" s="16" t="n"/>
      <c r="D5" s="16" t="n"/>
      <c r="E5" s="16" t="n"/>
    </row>
    <row r="6">
      <c r="A6" s="23" t="n"/>
      <c r="B6" s="16" t="n"/>
      <c r="C6" s="16" t="n"/>
      <c r="D6" s="16" t="n"/>
      <c r="E6" s="16" t="n"/>
    </row>
    <row r="7">
      <c r="A7" s="23" t="n"/>
      <c r="B7" s="16" t="n"/>
      <c r="C7" s="16" t="n"/>
      <c r="D7" s="16" t="n"/>
      <c r="E7" s="16" t="n"/>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6" t="inlineStr">
        <is>
          <t>trading</t>
        </is>
      </c>
      <c r="B3" s="16" t="inlineStr">
        <is>
          <t>Trading hours</t>
        </is>
      </c>
      <c r="C3" s="16" t="inlineStr">
        <is>
          <t>18:00 EST to 16:55 EST the following day. All positions must close before 16:55 EST.</t>
        </is>
      </c>
      <c r="D3" s="16" t="inlineStr">
        <is>
          <t>confirmed</t>
        </is>
      </c>
      <c r="E3" s="16" t="n"/>
      <c r="F3" s="16" t="n"/>
      <c r="G3" s="16" t="n"/>
      <c r="H3" s="16" t="n"/>
      <c r="I3" s="16" t="inlineStr">
        <is>
          <t>oui</t>
        </is>
      </c>
      <c r="J3" s="16" t="inlineStr">
        <is>
          <t>https://faq.futureselite.com/en/articles/11949421-futures-trading-hours-and-guidelines</t>
        </is>
      </c>
    </row>
    <row r="4">
      <c r="A4" s="16" t="inlineStr">
        <is>
          <t>trading</t>
        </is>
      </c>
      <c r="B4" s="16" t="inlineStr">
        <is>
          <t>Overnight holding</t>
        </is>
      </c>
      <c r="C4" s="16" t="inlineStr">
        <is>
          <t>Not allowed. Automatic liquidation may occur.</t>
        </is>
      </c>
      <c r="D4" s="16" t="inlineStr">
        <is>
          <t>confirmed</t>
        </is>
      </c>
      <c r="E4" s="16" t="n"/>
      <c r="F4" s="16" t="n"/>
      <c r="G4" s="16" t="n"/>
      <c r="H4" s="16" t="inlineStr">
        <is>
          <t>oui</t>
        </is>
      </c>
      <c r="I4" s="16" t="inlineStr">
        <is>
          <t>oui</t>
        </is>
      </c>
      <c r="J4" s="16" t="inlineStr">
        <is>
          <t>https://faq.futureselite.com/en/articles/11949421-futures-trading-hours-and-guidelines</t>
        </is>
      </c>
    </row>
    <row r="5">
      <c r="A5" s="16" t="inlineStr">
        <is>
          <t>trading</t>
        </is>
      </c>
      <c r="B5" s="16" t="inlineStr">
        <is>
          <t>Weekend</t>
        </is>
      </c>
      <c r="C5" s="16" t="inlineStr">
        <is>
          <t>Market closed Friday 16:55 EST to Sunday 18:00 EST. Holiday closures may differ.</t>
        </is>
      </c>
      <c r="D5" s="16" t="inlineStr">
        <is>
          <t>confirmed</t>
        </is>
      </c>
      <c r="E5" s="16" t="n"/>
      <c r="F5" s="16" t="n"/>
      <c r="G5" s="16" t="n"/>
      <c r="H5" s="16" t="n"/>
      <c r="I5" s="16" t="n"/>
      <c r="J5" s="16" t="inlineStr">
        <is>
          <t>https://faq.futureselite.com/en/articles/11949421-futures-trading-hours-and-guidelines</t>
        </is>
      </c>
    </row>
    <row r="6">
      <c r="A6" s="16" t="inlineStr">
        <is>
          <t>trading</t>
        </is>
      </c>
      <c r="B6" s="16" t="inlineStr">
        <is>
          <t>Automated trading</t>
        </is>
      </c>
      <c r="C6" s="16" t="inlineStr">
        <is>
          <t>Fully automated AI or bots are not permitted.</t>
        </is>
      </c>
      <c r="D6" s="16" t="inlineStr">
        <is>
          <t>confirmed</t>
        </is>
      </c>
      <c r="E6" s="16" t="n"/>
      <c r="F6" s="16" t="n"/>
      <c r="G6" s="16" t="n"/>
      <c r="H6" s="16" t="inlineStr">
        <is>
          <t>oui</t>
        </is>
      </c>
      <c r="I6" s="16" t="inlineStr">
        <is>
          <t>oui</t>
        </is>
      </c>
      <c r="J6" s="16" t="inlineStr">
        <is>
          <t>https://faq.futureselite.com/en/articles/11949446-what-is-allowed-and-not-allowed-with-us-fair-play-and-prohibited-trading-practices</t>
        </is>
      </c>
    </row>
    <row r="7">
      <c r="A7" s="16" t="inlineStr">
        <is>
          <t>trading</t>
        </is>
      </c>
      <c r="B7" s="16" t="inlineStr">
        <is>
          <t>Order fills</t>
        </is>
      </c>
      <c r="C7" s="16" t="inlineStr">
        <is>
          <t>Multiple limit orders at the same price to manipulate fills are prohibited.</t>
        </is>
      </c>
      <c r="D7" s="16" t="inlineStr">
        <is>
          <t>confirmed</t>
        </is>
      </c>
      <c r="E7" s="16" t="n"/>
      <c r="F7" s="16" t="n"/>
      <c r="G7" s="16" t="n"/>
      <c r="H7" s="16" t="inlineStr">
        <is>
          <t>oui</t>
        </is>
      </c>
      <c r="I7" s="16" t="n"/>
      <c r="J7" s="16" t="inlineStr">
        <is>
          <t>https://faq.futureselite.com/en/articles/11949446-what-is-allowed-and-not-allowed-with-us-fair-play-and-prohibited-trading-practices</t>
        </is>
      </c>
    </row>
    <row r="8">
      <c r="A8" s="16" t="inlineStr">
        <is>
          <t>trading</t>
        </is>
      </c>
      <c r="B8" s="16" t="inlineStr">
        <is>
          <t>Market gaps</t>
        </is>
      </c>
      <c r="C8" s="16" t="inlineStr">
        <is>
          <t>Exploiting isolated fills in gapped or illiquid markets is prohibited.</t>
        </is>
      </c>
      <c r="D8" s="16" t="inlineStr">
        <is>
          <t>confirmed</t>
        </is>
      </c>
      <c r="E8" s="16" t="n"/>
      <c r="F8" s="16" t="n"/>
      <c r="G8" s="16" t="n"/>
      <c r="H8" s="16" t="inlineStr">
        <is>
          <t>oui</t>
        </is>
      </c>
      <c r="I8" s="16" t="n"/>
      <c r="J8" s="16" t="inlineStr">
        <is>
          <t>https://faq.futureselite.com/en/articles/11949446-what-is-allowed-and-not-allowed-with-us-fair-play-and-prohibited-trading-practices</t>
        </is>
      </c>
    </row>
    <row r="9">
      <c r="A9" s="16" t="inlineStr">
        <is>
          <t>trading</t>
        </is>
      </c>
      <c r="B9" s="16" t="inlineStr">
        <is>
          <t>Account flipping</t>
        </is>
      </c>
      <c r="C9" s="16" t="inlineStr">
        <is>
          <t>Payout, breach and repeat patterns are prohibited.</t>
        </is>
      </c>
      <c r="D9" s="16" t="inlineStr">
        <is>
          <t>confirmed</t>
        </is>
      </c>
      <c r="E9" s="16" t="n"/>
      <c r="F9" s="16" t="n"/>
      <c r="G9" s="16" t="n"/>
      <c r="H9" s="16" t="inlineStr">
        <is>
          <t>oui</t>
        </is>
      </c>
      <c r="I9" s="16" t="n"/>
      <c r="J9" s="16" t="inlineStr">
        <is>
          <t>https://faq.futureselite.com/en/articles/11949446-what-is-allowed-and-not-allowed-with-us-fair-play-and-prohibited-trading-practices</t>
        </is>
      </c>
    </row>
    <row r="10">
      <c r="A10" s="16" t="inlineStr">
        <is>
          <t>trading</t>
        </is>
      </c>
      <c r="B10" s="16" t="inlineStr">
        <is>
          <t>Scalping</t>
        </is>
      </c>
      <c r="C10" s="16" t="inlineStr">
        <is>
          <t>The configurator displays "No" on every current plan, with no definition or duration threshold.</t>
        </is>
      </c>
      <c r="D10" s="16" t="inlineStr">
        <is>
          <t>needs_confirmation</t>
        </is>
      </c>
      <c r="E10" s="16" t="n"/>
      <c r="F10" s="16" t="n"/>
      <c r="G10" s="16" t="n"/>
      <c r="H10" s="16" t="n"/>
      <c r="I10" s="16" t="n"/>
      <c r="J10" s="16" t="inlineStr">
        <is>
          <t>https://futureselite.com/#pricing</t>
        </is>
      </c>
    </row>
    <row r="11">
      <c r="A11" s="16" t="inlineStr">
        <is>
          <t>trading</t>
        </is>
      </c>
      <c r="B11" s="16" t="inlineStr">
        <is>
          <t>News trading</t>
        </is>
      </c>
      <c r="C11" s="16" t="inlineStr">
        <is>
          <t>Allowed during the evaluation.</t>
        </is>
      </c>
      <c r="D11" s="16" t="inlineStr">
        <is>
          <t>confirmed</t>
        </is>
      </c>
      <c r="E11" s="16" t="inlineStr">
        <is>
          <t>elite, nitro, prime</t>
        </is>
      </c>
      <c r="F11" s="16" t="n"/>
      <c r="G11" s="16" t="inlineStr">
        <is>
          <t>evaluation</t>
        </is>
      </c>
      <c r="H11" s="16" t="n"/>
      <c r="I11" s="16" t="inlineStr">
        <is>
          <t>oui</t>
        </is>
      </c>
      <c r="J11" s="16" t="inlineStr">
        <is>
          <t>https://futureselite.com/#pricing</t>
        </is>
      </c>
    </row>
    <row r="12">
      <c r="A12" s="16" t="inlineStr">
        <is>
          <t>trading</t>
        </is>
      </c>
      <c r="B12" s="16" t="inlineStr">
        <is>
          <t>News trading</t>
        </is>
      </c>
      <c r="C12" s="16" t="inlineStr">
        <is>
          <t>The configurator displays "With restrictions" without stating the event window.</t>
        </is>
      </c>
      <c r="D12" s="16" t="inlineStr">
        <is>
          <t>needs_confirmation</t>
        </is>
      </c>
      <c r="E12" s="16" t="n"/>
      <c r="F12" s="16" t="n"/>
      <c r="G12" s="16" t="inlineStr">
        <is>
          <t>funded</t>
        </is>
      </c>
      <c r="H12" s="16" t="n"/>
      <c r="I12" s="16" t="n"/>
      <c r="J12" s="16" t="inlineStr">
        <is>
          <t>https://futureselite.com/#pricing</t>
        </is>
      </c>
    </row>
    <row r="13">
      <c r="A13" s="16" t="inlineStr">
        <is>
          <t>payouts</t>
        </is>
      </c>
      <c r="B13" s="16" t="inlineStr">
        <is>
          <t>KYC</t>
        </is>
      </c>
      <c r="C13" s="16" t="inlineStr">
        <is>
          <t>Veriff. Buyer, KYC holder and account operator must be the same person. Reviewed at upgrades.</t>
        </is>
      </c>
      <c r="D13" s="16" t="inlineStr">
        <is>
          <t>confirmed</t>
        </is>
      </c>
      <c r="E13" s="16" t="n"/>
      <c r="F13" s="16" t="n"/>
      <c r="G13" s="16" t="n"/>
      <c r="H13" s="16" t="n"/>
      <c r="I13" s="16" t="inlineStr">
        <is>
          <t>oui</t>
        </is>
      </c>
      <c r="J13" s="16" t="inlineStr">
        <is>
          <t>https://faq.futureselite.com/en/articles/11948842-know-your-customer-kyc-policy</t>
        </is>
      </c>
    </row>
    <row r="14">
      <c r="A14" s="16" t="inlineStr">
        <is>
          <t>trading</t>
        </is>
      </c>
      <c r="B14" s="16" t="inlineStr">
        <is>
          <t>Inactivity</t>
        </is>
      </c>
      <c r="C14" s="16" t="inlineStr">
        <is>
          <t>30 consecutive days without trades may permanently close a live account.</t>
        </is>
      </c>
      <c r="D14" s="16" t="inlineStr">
        <is>
          <t>confirmed</t>
        </is>
      </c>
      <c r="E14" s="16" t="n"/>
      <c r="F14" s="16" t="n"/>
      <c r="G14" s="16" t="n"/>
      <c r="H14" s="16" t="inlineStr">
        <is>
          <t>oui</t>
        </is>
      </c>
      <c r="I14" s="16" t="n"/>
      <c r="J14" s="16" t="inlineStr">
        <is>
          <t>https://faq.futureselite.com/en/articles/12291084-trader-rules-responsibilities</t>
        </is>
      </c>
    </row>
    <row r="15">
      <c r="A15" s="16" t="inlineStr">
        <is>
          <t>trading</t>
        </is>
      </c>
      <c r="B15" s="16" t="inlineStr">
        <is>
          <t>Protective stops</t>
        </is>
      </c>
      <c r="C15" s="16" t="inlineStr">
        <is>
          <t>A stop order is required on every open position on a live account.</t>
        </is>
      </c>
      <c r="D15" s="16" t="inlineStr">
        <is>
          <t>confirmed</t>
        </is>
      </c>
      <c r="E15" s="16" t="n"/>
      <c r="F15" s="16" t="n"/>
      <c r="G15" s="16" t="n"/>
      <c r="H15" s="16" t="n"/>
      <c r="I15" s="16" t="n"/>
      <c r="J15" s="16" t="inlineStr">
        <is>
          <t>https://faq.futureselite.com/en/articles/12291084-trader-rules-responsibilities</t>
        </is>
      </c>
    </row>
    <row r="16">
      <c r="A16" s="16" t="inlineStr">
        <is>
          <t>trading</t>
        </is>
      </c>
      <c r="B16" s="16" t="inlineStr">
        <is>
          <t>Evaluation duration</t>
        </is>
      </c>
      <c r="C16" s="16" t="inlineStr">
        <is>
          <t>No deadline to pass. One-time fee, no recurring monthly fee.</t>
        </is>
      </c>
      <c r="D16" s="16" t="inlineStr">
        <is>
          <t>confirmed</t>
        </is>
      </c>
      <c r="E16" s="16" t="inlineStr">
        <is>
          <t>elite, nitro, prime</t>
        </is>
      </c>
      <c r="F16" s="16" t="n"/>
      <c r="G16" s="16" t="inlineStr">
        <is>
          <t>evaluation</t>
        </is>
      </c>
      <c r="H16" s="16" t="n"/>
      <c r="I16" s="16" t="n"/>
      <c r="J16" s="16" t="inlineStr">
        <is>
          <t>https://faq.futureselite.com/en/articles/16778908-is-the-challenge-fee-is-one-time</t>
        </is>
      </c>
    </row>
    <row r="17">
      <c r="A17" s="16" t="inlineStr">
        <is>
          <t>trading</t>
        </is>
      </c>
      <c r="B17" s="16" t="inlineStr">
        <is>
          <t>Active funded accounts</t>
        </is>
      </c>
      <c r="C17" s="16" t="inlineStr">
        <is>
          <t>Maximum 10 funded accounts overall; maximum 10 Prime; maximum 5 combined across Elite, Custom, Instant and Nitro.</t>
        </is>
      </c>
      <c r="D17" s="16" t="inlineStr">
        <is>
          <t>confirmed</t>
        </is>
      </c>
      <c r="E17" s="16" t="n"/>
      <c r="F17" s="16" t="n"/>
      <c r="G17" s="16" t="n"/>
      <c r="H17" s="16" t="n"/>
      <c r="I17" s="16" t="n"/>
      <c r="J17" s="16" t="inlineStr">
        <is>
          <t>https://faq.futureselite.com/en/articles/11949051-how-many-accounts-can-i-have-with-futureselite</t>
        </is>
      </c>
    </row>
    <row r="18">
      <c r="A18" s="16" t="inlineStr">
        <is>
          <t>payouts</t>
        </is>
      </c>
      <c r="B18" s="16" t="inlineStr">
        <is>
          <t>Payout review</t>
        </is>
      </c>
      <c r="C18" s="16" t="inlineStr">
        <is>
          <t>Average under 24 hours. Manual review may take longer.</t>
        </is>
      </c>
      <c r="D18" s="16" t="inlineStr">
        <is>
          <t>confirmed</t>
        </is>
      </c>
      <c r="E18" s="16" t="n"/>
      <c r="F18" s="16" t="n"/>
      <c r="G18" s="16" t="n"/>
      <c r="H18" s="16" t="n"/>
      <c r="I18" s="16" t="inlineStr">
        <is>
          <t>oui</t>
        </is>
      </c>
      <c r="J18" s="16" t="inlineStr">
        <is>
          <t>https://faq.futureselite.com/en/articles/11949982-what-is-the-payout-process-like-on-futures-elite</t>
        </is>
      </c>
    </row>
    <row r="19">
      <c r="A19" s="16" t="inlineStr">
        <is>
          <t>payouts</t>
        </is>
      </c>
      <c r="B19" s="16" t="inlineStr">
        <is>
          <t>Bank transfer</t>
        </is>
      </c>
      <c r="C19" s="16" t="inlineStr">
        <is>
          <t>1 to 3 days after approval.</t>
        </is>
      </c>
      <c r="D19" s="16" t="inlineStr">
        <is>
          <t>confirmed</t>
        </is>
      </c>
      <c r="E19" s="16" t="n"/>
      <c r="F19" s="16" t="n"/>
      <c r="G19" s="16" t="n"/>
      <c r="H19" s="16" t="n"/>
      <c r="I19" s="16" t="inlineStr">
        <is>
          <t>oui</t>
        </is>
      </c>
      <c r="J19" s="16" t="inlineStr">
        <is>
          <t>https://faq.futureselite.com/en/articles/11949985-how-are-payouts-processed</t>
        </is>
      </c>
    </row>
    <row r="20">
      <c r="A20" s="16" t="inlineStr">
        <is>
          <t>payouts</t>
        </is>
      </c>
      <c r="B20" s="16" t="inlineStr">
        <is>
          <t>Direct crypto</t>
        </is>
      </c>
      <c r="C20" s="16" t="inlineStr">
        <is>
          <t>Maximum $500 per request. Above that, standard Rise methods apply.</t>
        </is>
      </c>
      <c r="D20" s="16" t="inlineStr">
        <is>
          <t>confirmed</t>
        </is>
      </c>
      <c r="E20" s="16" t="n"/>
      <c r="F20" s="16" t="n"/>
      <c r="G20" s="16" t="n"/>
      <c r="H20" s="16" t="n"/>
      <c r="I20" s="16" t="n"/>
      <c r="J20" s="16" t="inlineStr">
        <is>
          <t>https://faq.futureselite.com/en/articles/11949985-how-are-payouts-processed</t>
        </is>
      </c>
    </row>
    <row r="21">
      <c r="A21" s="16" t="inlineStr">
        <is>
          <t>payouts</t>
        </is>
      </c>
      <c r="B21" s="16" t="inlineStr">
        <is>
          <t>Elite maximum request</t>
        </is>
      </c>
      <c r="C21" s="16" t="inlineStr">
        <is>
          <t>Elite accounts bought from 2026-06-25 15:00 CET: 50% of total profit remaining, capped by account size. Older Elite accounts use 50% of current-cycle profit. Documented for Elite only.</t>
        </is>
      </c>
      <c r="D21" s="16" t="inlineStr">
        <is>
          <t>confirmed</t>
        </is>
      </c>
      <c r="E21" s="16" t="inlineStr">
        <is>
          <t>elite</t>
        </is>
      </c>
      <c r="F21" s="16" t="n"/>
      <c r="G21" s="16" t="n"/>
      <c r="H21" s="16" t="n"/>
      <c r="I21" s="16" t="n"/>
      <c r="J21" s="16" t="inlineStr">
        <is>
          <t>https://faq.futureselite.com/en/articles/16387630-how-much-can-i-request</t>
        </is>
      </c>
    </row>
    <row r="22">
      <c r="A22" s="16" t="inlineStr">
        <is>
          <t>payouts</t>
        </is>
      </c>
      <c r="B22" s="16" t="inlineStr">
        <is>
          <t>What counts as a profitable day</t>
        </is>
      </c>
      <c r="C22" s="16" t="inlineStr">
        <is>
          <t>Elite requires 6 profitable days per payout, and a day only qualifies above a size-specific minimum: $100 on a 25K, $150 on a 50K, $250 on a 100K, $350 on a 150K.</t>
        </is>
      </c>
      <c r="D22" s="16" t="inlineStr">
        <is>
          <t>confirmed</t>
        </is>
      </c>
      <c r="E22" s="16" t="inlineStr">
        <is>
          <t>elite</t>
        </is>
      </c>
      <c r="F22" s="16" t="n"/>
      <c r="G22" s="16" t="n"/>
      <c r="H22" s="16" t="n"/>
      <c r="I22" s="16" t="inlineStr">
        <is>
          <t>oui</t>
        </is>
      </c>
      <c r="J22" s="16" t="inlineStr">
        <is>
          <t>https://futureselite.com/#pricing</t>
        </is>
      </c>
    </row>
    <row r="23">
      <c r="A23" s="16" t="inlineStr">
        <is>
          <t>trading</t>
        </is>
      </c>
      <c r="B23" s="16" t="inlineStr">
        <is>
          <t>Prime 150K maximum loss</t>
        </is>
      </c>
      <c r="C23" s="16" t="inlineStr">
        <is>
          <t>Unresolved: the Prime overview and the live configurator show $4,500, while a detailed official MLL article has shown $4,000. The configurator value is used here.</t>
        </is>
      </c>
      <c r="D23" s="16" t="inlineStr">
        <is>
          <t>source_conflict</t>
        </is>
      </c>
      <c r="E23" s="16" t="inlineStr">
        <is>
          <t>prime</t>
        </is>
      </c>
      <c r="F23" s="16" t="inlineStr">
        <is>
          <t>150000</t>
        </is>
      </c>
      <c r="G23" s="16" t="n"/>
      <c r="H23" s="16" t="inlineStr">
        <is>
          <t>oui</t>
        </is>
      </c>
      <c r="I23" s="16" t="n"/>
      <c r="J23" s="16" t="inlineStr">
        <is>
          <t>https://futureselite.com/#pricing</t>
        </is>
      </c>
    </row>
    <row r="24">
      <c r="A24" s="16" t="inlineStr">
        <is>
          <t>trading</t>
        </is>
      </c>
      <c r="B24" s="16" t="inlineStr">
        <is>
          <t>Instant 25K availability</t>
        </is>
      </c>
      <c r="C24" s="16" t="inlineStr">
        <is>
          <t>Documented in the official Instant FAQ but not currently purchasable: the live configurator exposes only 50K, 100K and 150K.</t>
        </is>
      </c>
      <c r="D24" s="16" t="inlineStr">
        <is>
          <t>needs_confirmation</t>
        </is>
      </c>
      <c r="E24" s="16" t="inlineStr">
        <is>
          <t>instant</t>
        </is>
      </c>
      <c r="F24" s="16" t="n"/>
      <c r="G24" s="16" t="n"/>
      <c r="H24" s="16" t="n"/>
      <c r="I24" s="16" t="n"/>
      <c r="J24" s="16" t="inlineStr">
        <is>
          <t>https://faq.futureselite.com/en/articles/12901358-how-do-payout-works-on-the-new-instant-challenges</t>
        </is>
      </c>
    </row>
    <row r="25">
      <c r="A25" s="16" t="inlineStr">
        <is>
          <t>trading</t>
        </is>
      </c>
      <c r="B25" s="16" t="inlineStr">
        <is>
          <t>Prime evaluation length</t>
        </is>
      </c>
      <c r="C25" s="16" t="inlineStr">
        <is>
          <t>Can be passed in one trading day. A separate FAQ article describes no minimum; the configurator states one day.</t>
        </is>
      </c>
      <c r="D25" s="16" t="inlineStr">
        <is>
          <t>needs_confirmation</t>
        </is>
      </c>
      <c r="E25" s="16" t="inlineStr">
        <is>
          <t>prime</t>
        </is>
      </c>
      <c r="F25" s="16" t="n"/>
      <c r="G25" s="16" t="inlineStr">
        <is>
          <t>evaluation</t>
        </is>
      </c>
      <c r="H25" s="16" t="n"/>
      <c r="I25" s="16" t="n"/>
      <c r="J25" s="16" t="inlineStr">
        <is>
          <t>https://futureselite.com/#pricing</t>
        </is>
      </c>
    </row>
    <row r="26">
      <c r="A26" s="16" t="inlineStr">
        <is>
          <t>live</t>
        </is>
      </c>
      <c r="B26" s="16" t="inlineStr">
        <is>
          <t>Transition to live</t>
        </is>
      </c>
      <c r="C26" s="16" t="inlineStr">
        <is>
          <t>A risk-team decision. The fifth payout is a ceiling, not an automatic entitlement.</t>
        </is>
      </c>
      <c r="D26" s="16" t="inlineStr">
        <is>
          <t>confirmed</t>
        </is>
      </c>
      <c r="E26" s="16" t="n"/>
      <c r="F26" s="16" t="n"/>
      <c r="G26" s="16" t="inlineStr">
        <is>
          <t>funded</t>
        </is>
      </c>
      <c r="H26" s="16" t="n"/>
      <c r="I26" s="16" t="inlineStr">
        <is>
          <t>oui</t>
        </is>
      </c>
      <c r="J26" s="16" t="inlineStr">
        <is>
          <t>https://faq.futureselite.com/en/articles/15899069-live-trading-program</t>
        </is>
      </c>
    </row>
    <row r="27">
      <c r="A27" s="16" t="inlineStr">
        <is>
          <t>live</t>
        </is>
      </c>
      <c r="B27" s="16" t="inlineStr">
        <is>
          <t>Live starting balance</t>
        </is>
      </c>
      <c r="C27" s="16" t="inlineStr">
        <is>
          <t>Starts at $0 with a loss floor based on account size. 50K example: $2,000 loss floor and $1,000 cushion.</t>
        </is>
      </c>
      <c r="D27" s="16" t="inlineStr">
        <is>
          <t>confirmed</t>
        </is>
      </c>
      <c r="E27" s="16" t="n"/>
      <c r="F27" s="16" t="n"/>
      <c r="G27" s="16" t="inlineStr">
        <is>
          <t>funded</t>
        </is>
      </c>
      <c r="H27" s="16" t="n"/>
      <c r="I27" s="16" t="n"/>
      <c r="J27" s="16" t="inlineStr">
        <is>
          <t>https://faq.futureselite.com/en/articles/15899069-live-trading-program</t>
        </is>
      </c>
    </row>
    <row r="28">
      <c r="A28" s="16" t="inlineStr">
        <is>
          <t>live</t>
        </is>
      </c>
      <c r="B28" s="16" t="inlineStr">
        <is>
          <t>Live cushion unlock</t>
        </is>
      </c>
      <c r="C28" s="16" t="inlineStr">
        <is>
          <t>15 profitable days meeting the size-specific daily minimum. Days need not be consecutive.</t>
        </is>
      </c>
      <c r="D28" s="16" t="inlineStr">
        <is>
          <t>confirmed</t>
        </is>
      </c>
      <c r="E28" s="16" t="n"/>
      <c r="F28" s="16" t="n"/>
      <c r="G28" s="16" t="inlineStr">
        <is>
          <t>funded</t>
        </is>
      </c>
      <c r="H28" s="16" t="n"/>
      <c r="I28" s="16" t="n"/>
      <c r="J28" s="16" t="inlineStr">
        <is>
          <t>https://faq.futureselite.com/en/articles/15899069-live-trading-program</t>
        </is>
      </c>
    </row>
    <row r="29">
      <c r="A29" s="16" t="inlineStr">
        <is>
          <t>live</t>
        </is>
      </c>
      <c r="B29" s="16" t="inlineStr">
        <is>
          <t>Live payout</t>
        </is>
      </c>
      <c r="C29" s="16" t="inlineStr">
        <is>
          <t>Daily, $200 minimum, on profits above the cushion or unlocked reserve.</t>
        </is>
      </c>
      <c r="D29" s="16" t="inlineStr">
        <is>
          <t>confirmed</t>
        </is>
      </c>
      <c r="E29" s="16" t="n"/>
      <c r="F29" s="16" t="n"/>
      <c r="G29" s="16" t="inlineStr">
        <is>
          <t>funded</t>
        </is>
      </c>
      <c r="H29" s="16" t="n"/>
      <c r="I29" s="16" t="n"/>
      <c r="J29" s="16" t="inlineStr">
        <is>
          <t>https://faq.futureselite.com/en/articles/15899069-live-trading-program</t>
        </is>
      </c>
    </row>
    <row r="30">
      <c r="A30" s="16" t="inlineStr">
        <is>
          <t>live</t>
        </is>
      </c>
      <c r="B30" s="16" t="inlineStr">
        <is>
          <t>Market data</t>
        </is>
      </c>
      <c r="C30" s="16" t="inlineStr">
        <is>
          <t>Exchange market data is the trader’s responsibility on a live account. Amount not specified.</t>
        </is>
      </c>
      <c r="D30" s="16" t="inlineStr">
        <is>
          <t>confirmed</t>
        </is>
      </c>
      <c r="E30" s="16" t="n"/>
      <c r="F30" s="16" t="n"/>
      <c r="G30" s="16" t="inlineStr">
        <is>
          <t>funded</t>
        </is>
      </c>
      <c r="H30" s="16" t="n"/>
      <c r="I30" s="16" t="n"/>
      <c r="J30" s="16" t="inlineStr">
        <is>
          <t>https://faq.futureselite.com/en/articles/12291073-market-data-costs</t>
        </is>
      </c>
    </row>
    <row r="31">
      <c r="A31" s="16" t="inlineStr">
        <is>
          <t>live</t>
        </is>
      </c>
      <c r="B31" s="16" t="inlineStr">
        <is>
          <t>Commissions</t>
        </is>
      </c>
      <c r="C31" s="16" t="inlineStr">
        <is>
          <t>Commissions and exchange fees are charged per instrument on each executed trade. The official FAQ still labels some exchange fees as 2024 rates.</t>
        </is>
      </c>
      <c r="D31" s="16" t="inlineStr">
        <is>
          <t>confirmed</t>
        </is>
      </c>
      <c r="E31" s="16" t="n"/>
      <c r="F31" s="16" t="n"/>
      <c r="G31" s="16" t="inlineStr">
        <is>
          <t>funded</t>
        </is>
      </c>
      <c r="H31" s="16" t="n"/>
      <c r="I31" s="16" t="n"/>
      <c r="J31" s="16" t="inlineStr">
        <is>
          <t>https://faq.futureselite.com/en/articles/12291021-what-are-the-costs-fees</t>
        </is>
      </c>
    </row>
    <row r="32">
      <c r="A32" s="16" t="inlineStr">
        <is>
          <t>live</t>
        </is>
      </c>
      <c r="B32" s="16" t="inlineStr">
        <is>
          <t>Platform licence</t>
        </is>
      </c>
      <c r="C32" s="16" t="inlineStr">
        <is>
          <t>A paid platform licence may apply depending on the selected platform.</t>
        </is>
      </c>
      <c r="D32" s="16" t="inlineStr">
        <is>
          <t>confirmed</t>
        </is>
      </c>
      <c r="E32" s="16" t="n"/>
      <c r="F32" s="16" t="n"/>
      <c r="G32" s="16" t="inlineStr">
        <is>
          <t>funded</t>
        </is>
      </c>
      <c r="H32" s="16" t="n"/>
      <c r="I32" s="16" t="n"/>
      <c r="J32" s="16" t="inlineStr">
        <is>
          <t>https://faq.futureselite.com/en/articles/12291021-what-are-the-costs-fees</t>
        </is>
      </c>
    </row>
    <row r="33">
      <c r="A33" s="16" t="inlineStr">
        <is>
          <t>live</t>
        </is>
      </c>
      <c r="B33" s="16" t="inlineStr">
        <is>
          <t>Maintenance fee</t>
        </is>
      </c>
      <c r="C33" s="16" t="inlineStr">
        <is>
          <t>No hidden administrative maintenance fee is stated: $0.</t>
        </is>
      </c>
      <c r="D33" s="16" t="inlineStr">
        <is>
          <t>confirmed</t>
        </is>
      </c>
      <c r="E33" s="16" t="n"/>
      <c r="F33" s="16" t="n"/>
      <c r="G33" s="16" t="inlineStr">
        <is>
          <t>funded</t>
        </is>
      </c>
      <c r="H33" s="16" t="n"/>
      <c r="I33" s="16" t="n"/>
      <c r="J33" s="16" t="inlineStr">
        <is>
          <t>https://faq.futureselite.com/en/articles/12291021-what-are-the-costs-fees</t>
        </is>
      </c>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6" t="inlineStr">
        <is>
          <t>verdict</t>
        </is>
      </c>
      <c r="B3" s="23" t="n">
        <v>1</v>
      </c>
      <c r="C3" s="16" t="inlineStr">
        <is>
          <t>FuturesElite bets on generous terms once you are funded: up to a 90% split, daily payouts, and no funded consistency rule on Elite and Nitro. In exchange, the firm is young and is a proprietary trading company rather than a regulated broker.</t>
        </is>
      </c>
    </row>
    <row r="4">
      <c r="A4" s="16" t="inlineStr">
        <is>
          <t>pour_qui</t>
        </is>
      </c>
      <c r="B4" s="23" t="n">
        <v>1</v>
      </c>
      <c r="C4" s="16" t="inlineStr">
        <is>
          <t>A high split and frequent payouts, with no waiting period</t>
        </is>
      </c>
    </row>
    <row r="5">
      <c r="A5" s="16" t="inlineStr">
        <is>
          <t>pour_qui</t>
        </is>
      </c>
      <c r="B5" s="23" t="n">
        <v>2</v>
      </c>
      <c r="C5" s="16" t="inlineStr">
        <is>
          <t>Elite or Nitro evaluations without a daily loss limit, which leaves room to breathe</t>
        </is>
      </c>
    </row>
    <row r="6">
      <c r="A6" s="16" t="inlineStr">
        <is>
          <t>pour_qui</t>
        </is>
      </c>
      <c r="B6" s="23" t="n">
        <v>3</v>
      </c>
      <c r="C6" s="16" t="inlineStr">
        <is>
          <t>A funded account that opens with no activation fee</t>
        </is>
      </c>
    </row>
    <row r="7">
      <c r="A7" s="16" t="inlineStr">
        <is>
          <t>pour_qui</t>
        </is>
      </c>
      <c r="B7" s="23" t="n">
        <v>4</v>
      </c>
      <c r="C7" s="16" t="inlineStr">
        <is>
          <t>Prime lets traders run up to ten funded accounts in parallel.</t>
        </is>
      </c>
    </row>
    <row r="8">
      <c r="A8" s="16" t="inlineStr">
        <is>
          <t>limite</t>
        </is>
      </c>
      <c r="B8" s="23" t="n">
        <v>1</v>
      </c>
      <c r="C8" s="16" t="inlineStr">
        <is>
          <t>No financial regulator licence</t>
        </is>
      </c>
    </row>
    <row r="9">
      <c r="A9" s="16" t="inlineStr">
        <is>
          <t>limite</t>
        </is>
      </c>
      <c r="B9" s="23" t="n">
        <v>2</v>
      </c>
      <c r="C9" s="16" t="inlineStr">
        <is>
          <t>Demo accounts, hypothetical performance</t>
        </is>
      </c>
    </row>
    <row r="10">
      <c r="A10" s="16" t="inlineStr">
        <is>
          <t>limite</t>
        </is>
      </c>
      <c r="B10" s="23" t="n">
        <v>3</v>
      </c>
      <c r="C10" s="16" t="inlineStr">
        <is>
          <t>Minimum days differ by program; Elite needs 6 profitable days above a size-based threshold before a payout</t>
        </is>
      </c>
    </row>
    <row r="11">
      <c r="A11" s="16" t="inlineStr">
        <is>
          <t>limite</t>
        </is>
      </c>
      <c r="B11" s="23" t="n">
        <v>4</v>
      </c>
      <c r="C11" s="16" t="inlineStr">
        <is>
          <t>Per-request payout caps vary by program and account size.</t>
        </is>
      </c>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[Firm] suitable for beginners?</t>
        </is>
      </c>
      <c r="C3" s="16" t="n"/>
    </row>
    <row r="4">
      <c r="A4" s="23" t="n">
        <v>2</v>
      </c>
      <c r="B4" s="16" t="inlineStr">
        <is>
          <t>How much does [Firm] cost?</t>
        </is>
      </c>
      <c r="C4" s="16" t="n"/>
    </row>
    <row r="5">
      <c r="A5" s="23" t="n">
        <v>3</v>
      </c>
      <c r="B5" s="16" t="inlineStr">
        <is>
          <t>What profit split does [Firm] offer?</t>
        </is>
      </c>
      <c r="C5" s="16" t="n"/>
    </row>
    <row r="6">
      <c r="A6" s="23" t="n">
        <v>4</v>
      </c>
      <c r="B6" s="16" t="inlineStr">
        <is>
          <t>How do payouts work?</t>
        </is>
      </c>
      <c r="C6" s="16" t="n"/>
    </row>
    <row r="7">
      <c r="A7" s="23" t="n">
        <v>5</v>
      </c>
      <c r="B7" s="16" t="inlineStr">
        <is>
          <t>Does the promotional code apply to every account?</t>
        </is>
      </c>
      <c r="C7" s="16" t="n"/>
    </row>
    <row r="8">
      <c r="A8" s="23" t="n"/>
      <c r="B8" s="16" t="n"/>
      <c r="C8" s="16" t="n"/>
    </row>
    <row r="9">
      <c r="A9" s="23" t="n"/>
      <c r="B9" s="16" t="n"/>
      <c r="C9" s="16" t="n"/>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retired</t>
        </is>
      </c>
      <c r="J4" s="11" t="inlineStr">
        <is>
          <t>funded</t>
        </is>
      </c>
      <c r="K4" s="11" t="inlineStr">
        <is>
          <t>Trailing Intraday</t>
        </is>
      </c>
      <c r="L4" s="11" t="inlineStr">
        <is>
          <t>GBP</t>
        </is>
      </c>
      <c r="M4" s="11" t="inlineStr">
        <is>
          <t>non_confirmee</t>
        </is>
      </c>
      <c r="O4" s="11" t="inlineStr">
        <is>
          <t>limite</t>
        </is>
      </c>
      <c r="P4" s="11" t="inlineStr">
        <is>
          <t>live</t>
        </is>
      </c>
      <c r="Q4" s="11" t="inlineStr">
        <is>
          <t>funded</t>
        </is>
      </c>
    </row>
    <row r="5">
      <c r="A5" s="11" t="inlineStr">
        <is>
          <t>needs_confirmation</t>
        </is>
      </c>
      <c r="F5" t="inlineStr">
        <is>
          <t>certification</t>
        </is>
      </c>
      <c r="G5" s="11" t="inlineStr">
        <is>
          <t>crypto</t>
        </is>
      </c>
      <c r="K5" s="11" t="inlineStr">
        <is>
          <t>Static</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2026-09-28T15:20:54Z</dcterms:modified>
</cp:coreProperties>
</file>