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funding-pips</t>
        </is>
      </c>
      <c r="C2" s="17" t="inlineStr">
        <is>
          <t>futureselite</t>
        </is>
      </c>
      <c r="D2" s="18" t="inlineStr">
        <is>
          <t>N'est pas affiche : sert a l'adresse de la page et au lien sortant. Minuscules, sans espace. Obligatoire.</t>
        </is>
      </c>
    </row>
    <row r="3" ht="44" customHeight="1">
      <c r="A3" s="15" t="inlineStr">
        <is>
          <t>nom</t>
        </is>
      </c>
      <c r="B3" s="16" t="inlineStr">
        <is>
          <t>FundingPips</t>
        </is>
      </c>
      <c r="C3" s="17" t="inlineStr">
        <is>
          <t>FuturesElite</t>
        </is>
      </c>
      <c r="D3" s="18" t="inlineStr">
        <is>
          <t>Le titre de la carte d'identite, « Continue to [Firm] », le verdict et la FAQ. Obligatoire.</t>
        </is>
      </c>
    </row>
    <row r="4" ht="44" customHeight="1">
      <c r="A4" s="15" t="inlineStr">
        <is>
          <t>logo_url</t>
        </is>
      </c>
      <c r="B4" s="16" t="inlineStr">
        <is>
          <t>https://fundingpips.com/apple-icon.png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4.5</v>
      </c>
      <c r="C5" s="20" t="n">
        <v>4.5</v>
      </c>
      <c r="D5" s="18" t="inlineStr">
        <is>
          <t>Hero, angle haut droit : note sur 5. Vide : le bloc Trustpilot n'apparait pas.</t>
        </is>
      </c>
    </row>
    <row r="6" ht="44" customHeight="1">
      <c r="A6" s="15" t="inlineStr">
        <is>
          <t>trustpilot_review_count</t>
        </is>
      </c>
      <c r="B6" s="21" t="n">
        <v>69365</v>
      </c>
      <c r="C6" s="22" t="n">
        <v>1200</v>
      </c>
      <c r="D6" s="18" t="inlineStr">
        <is>
          <t>Nombre d'avis sous la note.</t>
        </is>
      </c>
    </row>
    <row r="7" ht="44" customHeight="1">
      <c r="A7" s="15" t="inlineStr">
        <is>
          <t>trustpilot_url</t>
        </is>
      </c>
      <c r="B7" s="16" t="inlineStr">
        <is>
          <t>https://www.trustpilot.com/review/fundingpips.com</t>
        </is>
      </c>
      <c r="C7" s="17" t="inlineStr">
        <is>
          <t>https://www.trustpilot.com/review/exemple.com</t>
        </is>
      </c>
      <c r="D7" s="18" t="inlineStr">
        <is>
          <t>Page Trustpilot de la firme : le badge y renvoie. Vide : badge non cliquable.</t>
        </is>
      </c>
    </row>
    <row r="8" ht="44" customHeight="1">
      <c r="A8" s="15" t="inlineStr">
        <is>
          <t>marches</t>
        </is>
      </c>
      <c r="B8" s="16" t="inlineStr">
        <is>
          <t>cfd</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Five routes from evaluation to simulated funding</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Choose between instant simulated funding, a one-step evaluation or three two-step models. Each route has its own targets, loss limits, reward cycles and Master-account rules.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FundingPips was founded in 2022 by Khaled Ayesh. Every account is simulated: you trade a demo environment, and what you earn comes from the firm's reward programme, not from a live market position.
Five models sit side by side. Zero funds you from purchase with no evaluation. 1-Step Flex asks for a single 12% phase. Standard, Pro and Flex are two-step evaluations with very different risk profiles, from 6% of static drawdown on Pro to 12% on Flex.
What you keep depends on how often you withdraw rather than on the model alone: weekly pays the least, monthly the most. Read the reward rules of the model you pick before you buy, because the Master account is where this firm concentrates its constraints.</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2022</v>
      </c>
      <c r="C13" s="24" t="n">
        <v>2024</v>
      </c>
      <c r="D13" s="18" t="inlineStr">
        <is>
          <t>« Founded ». Vide : « — ».</t>
        </is>
      </c>
    </row>
    <row r="14" ht="44" customHeight="1">
      <c r="A14" s="15" t="inlineStr">
        <is>
          <t>pays</t>
        </is>
      </c>
      <c r="B14" s="16" t="inlineStr">
        <is>
          <t>United Arab Emirates</t>
        </is>
      </c>
      <c r="C14" s="17" t="inlineStr">
        <is>
          <t>Italy</t>
        </is>
      </c>
      <c r="D14" s="18" t="inlineStr">
        <is>
          <t>« Country ».</t>
        </is>
      </c>
    </row>
    <row r="15" ht="44" customHeight="1">
      <c r="A15" s="15" t="inlineStr">
        <is>
          <t>ceo_fondateur</t>
        </is>
      </c>
      <c r="B15" s="16" t="inlineStr">
        <is>
          <t>Khaled Ayesh</t>
        </is>
      </c>
      <c r="C15" s="17" t="inlineStr">
        <is>
          <t>Christian Habibi</t>
        </is>
      </c>
      <c r="D15" s="18" t="inlineStr">
        <is>
          <t>« CEO / Founder ». Vide : « — ».</t>
        </is>
      </c>
    </row>
    <row r="16" ht="44" customHeight="1">
      <c r="A16" s="15" t="inlineStr">
        <is>
          <t>actifs</t>
        </is>
      </c>
      <c r="B16" s="16" t="inlineStr">
        <is>
          <t>41 simulated CFDs: 28 forex pairs, 2 metals, 7 cash indices, 2 energies, 2 crypto</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inlineStr">
        <is>
          <t>Forex, Metals, Indices, Energies, Crypto</t>
        </is>
      </c>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confirmed</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inlineStr">
        <is>
          <t>Card, Crypto (USDT/USDC), Rise, Bank transfer</t>
        </is>
      </c>
      <c r="C21" s="17" t="inlineStr">
        <is>
          <t>Crypto, Riseworks</t>
        </is>
      </c>
      <c r="D21" s="18" t="inlineStr">
        <is>
          <t>Carte PAYOUTS : methodes de RETRAIT, separees par des virgules.</t>
        </is>
      </c>
    </row>
    <row r="22" ht="44" customHeight="1">
      <c r="A22" s="15" t="inlineStr">
        <is>
          <t>prestataire_retrait</t>
        </is>
      </c>
      <c r="B22" s="16" t="inlineStr">
        <is>
          <t>Rise</t>
        </is>
      </c>
      <c r="C22" s="17" t="inlineStr">
        <is>
          <t>Rise</t>
        </is>
      </c>
      <c r="D22" s="18" t="inlineStr">
        <is>
          <t>Carte PAYOUTS : le prestataire qui paie les retraits.</t>
        </is>
      </c>
    </row>
    <row r="23" ht="44" customHeight="1">
      <c r="A23" s="15" t="inlineStr">
        <is>
          <t>levier</t>
        </is>
      </c>
      <c r="B23" s="16" t="inlineStr">
        <is>
          <t>1:100 forex · 1:30 metals · 1:20 indices · 1:10 energies · 1:2 crypto on the evaluation models</t>
        </is>
      </c>
      <c r="C23" s="17" t="inlineStr">
        <is>
          <t>N/A (futures contracts)</t>
        </is>
      </c>
      <c r="D23" s="18" t="inlineStr">
        <is>
          <t>« Trading profile » : « Leverage 1:X ». Vide : « Leverage — ».</t>
        </is>
      </c>
    </row>
    <row r="24" ht="44" customHeight="1">
      <c r="A24" s="15" t="inlineStr">
        <is>
          <t>levier_statut</t>
        </is>
      </c>
      <c r="B24" s="16" t="inlineStr">
        <is>
          <t>confirmed</t>
        </is>
      </c>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inlineStr">
        <is>
          <t>Day trading, Scalping, Swing with the add-on</t>
        </is>
      </c>
      <c r="C25" s="17" t="inlineStr">
        <is>
          <t>(vide — absent du releve)</t>
        </is>
      </c>
      <c r="D25" s="18" t="inlineStr">
        <is>
          <t>« Trading profile » : styles autorises (Swing…), separes par des virgules.</t>
        </is>
      </c>
    </row>
    <row r="26">
      <c r="A26" s="15" t="inlineStr">
        <is>
          <t>meta_description</t>
        </is>
      </c>
      <c r="B26" s="16" t="inlineStr">
        <is>
          <t>FundingPips review 2026: five simulated funding models, targets, loss limits, reward cycles from 60% to 100%, platforms and fees.</t>
        </is>
      </c>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Five account models</t>
        </is>
      </c>
      <c r="C3" s="17" t="inlineStr">
        <is>
          <t>Zero, 1-Step Flex, 2-Step Standard, 2-Step Pro and 2-Step Flex.</t>
        </is>
      </c>
    </row>
    <row r="4">
      <c r="A4" s="24" t="n">
        <v>2</v>
      </c>
      <c r="B4" s="17" t="inlineStr">
        <is>
          <t>Flexible reward cycles</t>
        </is>
      </c>
      <c r="C4" s="17" t="inlineStr">
        <is>
          <t>Weekly, bi-weekly, on demand or monthly, depending on the model.</t>
        </is>
      </c>
    </row>
    <row r="5">
      <c r="A5" s="23" t="n">
        <v>3</v>
      </c>
      <c r="B5" s="16" t="inlineStr">
        <is>
          <t>Three platforms</t>
        </is>
      </c>
      <c r="C5" s="16" t="inlineStr">
        <is>
          <t>MetaTrader 5, cTrader and Match-Trader.</t>
        </is>
      </c>
    </row>
    <row r="6">
      <c r="A6" s="23" t="n">
        <v>4</v>
      </c>
      <c r="B6" s="16" t="inlineStr">
        <is>
          <t>A path beyond the Master</t>
        </is>
      </c>
      <c r="C6" s="16" t="inlineStr">
        <is>
          <t>Eligible Master traders can move to a Prime account with daily rewards.</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MetaTrader 5</t>
        </is>
      </c>
      <c r="B3" s="17" t="inlineStr">
        <is>
          <t>oui</t>
        </is>
      </c>
      <c r="C3" s="17" t="inlineStr">
        <is>
          <t>The only platform for Prime and for swap-free. Not available to US residents.</t>
        </is>
      </c>
      <c r="D3" t="inlineStr">
        <is>
          <t>https://www.metatrader5.com/i/favicons/apple-touch-icon-180x180.png</t>
        </is>
      </c>
    </row>
    <row r="4">
      <c r="A4" s="17" t="inlineStr">
        <is>
          <t>cTrader</t>
        </is>
      </c>
      <c r="B4" s="17" t="inlineStr">
        <is>
          <t>oui</t>
        </is>
      </c>
      <c r="C4" s="17" t="inlineStr">
        <is>
          <t>Not available to US residents or citizens.</t>
        </is>
      </c>
      <c r="D4" t="inlineStr">
        <is>
          <t>https://ctrader.com/favicon.ico</t>
        </is>
      </c>
    </row>
    <row r="5">
      <c r="A5" s="16" t="inlineStr">
        <is>
          <t>Match-Trader</t>
        </is>
      </c>
      <c r="B5" s="16" t="inlineStr">
        <is>
          <t>oui</t>
        </is>
      </c>
      <c r="C5" s="16" t="inlineStr">
        <is>
          <t>Available in the United States and Canada.</t>
        </is>
      </c>
    </row>
    <row r="6">
      <c r="A6" s="16" t="n"/>
      <c r="B6" s="16" t="n"/>
      <c r="C6" s="16" t="n"/>
    </row>
    <row r="7">
      <c r="A7" s="16" t="n"/>
      <c r="B7" s="16" t="n"/>
      <c r="C7" s="16" t="n"/>
    </row>
    <row r="8">
      <c r="A8" s="16" t="n"/>
      <c r="B8" s="16" t="n"/>
      <c r="C8" s="16" t="n"/>
    </row>
    <row r="9">
      <c r="A9" s="16" t="n"/>
      <c r="B9" s="16" t="n"/>
      <c r="C9" s="16" t="n"/>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standard-2-step</t>
        </is>
      </c>
      <c r="B3" s="17" t="inlineStr">
        <is>
          <t>2-Step Standard</t>
        </is>
      </c>
      <c r="C3" s="17" t="inlineStr">
        <is>
          <t>cfd</t>
        </is>
      </c>
      <c r="D3" s="17" t="inlineStr">
        <is>
          <t>evaluation</t>
        </is>
      </c>
      <c r="E3" s="17" t="inlineStr">
        <is>
          <t>active</t>
        </is>
      </c>
      <c r="F3" s="17" t="inlineStr">
        <is>
          <t>The most room to breathe day to day</t>
        </is>
      </c>
      <c r="G3" s="17" t="inlineStr">
        <is>
          <t>8% then 5% against a 5% daily loss — the widest of the range — and 10% of static drawdown. Three minimum days per phase, and a 3% daily loss variant at purchase for those who prefer it.</t>
        </is>
      </c>
      <c r="H3" s="24" t="n"/>
      <c r="I3" s="17" t="n"/>
      <c r="J3" s="17" t="n"/>
      <c r="K3" s="26">
        <f>IF(A3="","",COUNTIF(Plans!$A$3:$A$300,A3))</f>
        <v/>
      </c>
    </row>
    <row r="4">
      <c r="A4" s="16" t="inlineStr">
        <is>
          <t>pro-2-step</t>
        </is>
      </c>
      <c r="B4" s="16" t="inlineStr">
        <is>
          <t>2-Step Pro</t>
        </is>
      </c>
      <c r="C4" s="16" t="inlineStr">
        <is>
          <t>cfd</t>
        </is>
      </c>
      <c r="D4" s="16" t="inlineStr">
        <is>
          <t>evaluation</t>
        </is>
      </c>
      <c r="E4" s="16" t="inlineStr">
        <is>
          <t>active</t>
        </is>
      </c>
      <c r="F4" s="16" t="inlineStr">
        <is>
          <t>The cheapest ticket, the tightest drawdown</t>
        </is>
      </c>
      <c r="G4" s="16" t="inlineStr">
        <is>
          <t>The same 6% target in both phases, so no step up in pressure. In exchange, 6% of static drawdown and 3% a day — the tightest of the range — and the cheapest ticket, from $33.</t>
        </is>
      </c>
      <c r="H4" s="23" t="n"/>
      <c r="I4" s="16" t="n"/>
      <c r="J4" s="16" t="n"/>
      <c r="K4" s="26">
        <f>IF(A4="","",COUNTIF(Plans!$A$3:$A$300,A4))</f>
        <v/>
      </c>
    </row>
    <row r="5">
      <c r="A5" s="16" t="inlineStr">
        <is>
          <t>flex-2-step</t>
        </is>
      </c>
      <c r="B5" s="16" t="inlineStr">
        <is>
          <t>2-Step Flex</t>
        </is>
      </c>
      <c r="C5" s="16" t="inlineStr">
        <is>
          <t>cfd</t>
        </is>
      </c>
      <c r="D5" s="16" t="inlineStr">
        <is>
          <t>evaluation</t>
        </is>
      </c>
      <c r="E5" s="16" t="inlineStr">
        <is>
          <t>active</t>
        </is>
      </c>
      <c r="F5" s="16" t="inlineStr">
        <is>
          <t>The largest drawdown of the catalogue</t>
        </is>
      </c>
      <c r="G5" s="16" t="inlineStr">
        <is>
          <t>10% then 8% against 12% of static drawdown, the widest of the range. The split is chosen at purchase and locked for the life of the account, so read it before you pay.</t>
        </is>
      </c>
      <c r="H5" s="23" t="n"/>
      <c r="I5" s="16" t="n"/>
      <c r="J5" s="16" t="n"/>
      <c r="K5" s="26">
        <f>IF(A5="","",COUNTIF(Plans!$A$3:$A$300,A5))</f>
        <v/>
      </c>
    </row>
    <row r="6">
      <c r="A6" s="16" t="inlineStr">
        <is>
          <t>flex-1-step</t>
        </is>
      </c>
      <c r="B6" s="16" t="inlineStr">
        <is>
          <t>1-Step Flex</t>
        </is>
      </c>
      <c r="C6" s="16" t="inlineStr">
        <is>
          <t>cfd</t>
        </is>
      </c>
      <c r="D6" s="16" t="inlineStr">
        <is>
          <t>evaluation</t>
        </is>
      </c>
      <c r="E6" s="16" t="inlineStr">
        <is>
          <t>active</t>
        </is>
      </c>
      <c r="F6" s="16" t="inlineStr">
        <is>
          <t>One phase, target equal to drawdown</t>
        </is>
      </c>
      <c r="G6" s="16" t="inlineStr">
        <is>
          <t>A 12% target against 12% of static drawdown, with no minimum days. The daily loss is 2% or 3% depending on the variant bought, and the Master keeps a permanent Striking System.</t>
        </is>
      </c>
      <c r="H6" s="23" t="n"/>
      <c r="I6" s="16" t="n"/>
      <c r="J6" s="16" t="n"/>
      <c r="K6" s="26">
        <f>IF(A6="","",COUNTIF(Plans!$A$3:$A$300,A6))</f>
        <v/>
      </c>
    </row>
    <row r="7">
      <c r="A7" s="16" t="inlineStr">
        <is>
          <t>zero</t>
        </is>
      </c>
      <c r="B7" s="16" t="inlineStr">
        <is>
          <t>Zero</t>
        </is>
      </c>
      <c r="C7" s="16" t="inlineStr">
        <is>
          <t>cfd</t>
        </is>
      </c>
      <c r="D7" s="16" t="inlineStr">
        <is>
          <t>instant</t>
        </is>
      </c>
      <c r="E7" s="16" t="inlineStr">
        <is>
          <t>active</t>
        </is>
      </c>
      <c r="F7" s="16" t="inlineStr">
        <is>
          <t>Funded from purchase, 95% of the rewards</t>
        </is>
      </c>
      <c r="G7" s="16" t="inlineStr">
        <is>
          <t>No evaluation and the highest share of the range, against the densest rule set: 5% trailing drawdown, seven profitable days per 30-day window, floating losses capped at 1%, no weekend holding at all.</t>
        </is>
      </c>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zero</t>
        </is>
      </c>
      <c r="B3" s="22" t="n">
        <v>5000</v>
      </c>
      <c r="C3" s="17" t="n"/>
      <c r="D3" s="17" t="inlineStr">
        <is>
          <t>USD</t>
        </is>
      </c>
      <c r="E3" s="27" t="n">
        <v>60</v>
      </c>
      <c r="F3" s="17" t="n"/>
      <c r="G3" s="17" t="inlineStr">
        <is>
          <t>one_time</t>
        </is>
      </c>
      <c r="H3" s="17" t="n"/>
      <c r="I3" s="27" t="n"/>
      <c r="J3" s="27" t="n">
        <v>0</v>
      </c>
      <c r="K3" s="26">
        <f>IF(A3="","",SUMPRODUCT((Phases!$A$3:$A$900=A3)*(Phases!$B$3:$B$900=B3)*(Phases!$C$3:$C$900=C3)))</f>
        <v/>
      </c>
      <c r="L3" s="28">
        <f>IF(A3="","",IF(COUNTIF(Programmes!$A$3:$A$60,A3)=0,"programme inconnu",IF(K3=0,"aucune phase","ok")))</f>
        <v/>
      </c>
      <c r="N3" t="inlineStr">
        <is>
          <t>USD</t>
        </is>
      </c>
    </row>
    <row r="4">
      <c r="A4" s="16" t="inlineStr">
        <is>
          <t>zero</t>
        </is>
      </c>
      <c r="B4" s="21" t="n">
        <v>10000</v>
      </c>
      <c r="C4" s="16" t="n"/>
      <c r="D4" s="16" t="inlineStr">
        <is>
          <t>USD</t>
        </is>
      </c>
      <c r="E4" s="29" t="n">
        <v>88</v>
      </c>
      <c r="F4" s="16" t="n"/>
      <c r="G4" s="16" t="inlineStr">
        <is>
          <t>one_time</t>
        </is>
      </c>
      <c r="H4" s="16" t="n"/>
      <c r="I4" s="29" t="n"/>
      <c r="J4" s="29" t="n">
        <v>0</v>
      </c>
      <c r="K4" s="26">
        <f>IF(A4="","",SUMPRODUCT((Phases!$A$3:$A$900=A4)*(Phases!$B$3:$B$900=B4)*(Phases!$C$3:$C$900=C4)))</f>
        <v/>
      </c>
      <c r="L4" s="28">
        <f>IF(A4="","",IF(COUNTIF(Programmes!$A$3:$A$60,A4)=0,"programme inconnu",IF(K4=0,"aucune phase","ok")))</f>
        <v/>
      </c>
      <c r="N4" t="inlineStr">
        <is>
          <t>USD</t>
        </is>
      </c>
    </row>
    <row r="5">
      <c r="A5" s="16" t="inlineStr">
        <is>
          <t>zero</t>
        </is>
      </c>
      <c r="B5" s="21" t="n">
        <v>25000</v>
      </c>
      <c r="C5" s="16" t="n"/>
      <c r="D5" s="16" t="inlineStr">
        <is>
          <t>USD</t>
        </is>
      </c>
      <c r="E5" s="29" t="n">
        <v>188</v>
      </c>
      <c r="F5" s="16" t="n"/>
      <c r="G5" s="16" t="inlineStr">
        <is>
          <t>one_time</t>
        </is>
      </c>
      <c r="H5" s="16" t="n"/>
      <c r="I5" s="29" t="n"/>
      <c r="J5" s="29" t="n">
        <v>0</v>
      </c>
      <c r="K5" s="26">
        <f>IF(A5="","",SUMPRODUCT((Phases!$A$3:$A$900=A5)*(Phases!$B$3:$B$900=B5)*(Phases!$C$3:$C$900=C5)))</f>
        <v/>
      </c>
      <c r="L5" s="28">
        <f>IF(A5="","",IF(COUNTIF(Programmes!$A$3:$A$60,A5)=0,"programme inconnu",IF(K5=0,"aucune phase","ok")))</f>
        <v/>
      </c>
      <c r="N5" t="inlineStr">
        <is>
          <t>USD</t>
        </is>
      </c>
    </row>
    <row r="6">
      <c r="A6" s="16" t="inlineStr">
        <is>
          <t>zero</t>
        </is>
      </c>
      <c r="B6" s="21" t="n">
        <v>50000</v>
      </c>
      <c r="C6" s="16" t="n"/>
      <c r="D6" s="16" t="inlineStr">
        <is>
          <t>USD</t>
        </is>
      </c>
      <c r="E6" s="29" t="n">
        <v>244</v>
      </c>
      <c r="F6" s="16" t="n"/>
      <c r="G6" s="16" t="inlineStr">
        <is>
          <t>one_time</t>
        </is>
      </c>
      <c r="H6" s="16" t="n"/>
      <c r="I6" s="29" t="n"/>
      <c r="J6" s="29" t="n">
        <v>0</v>
      </c>
      <c r="K6" s="26">
        <f>IF(A6="","",SUMPRODUCT((Phases!$A$3:$A$900=A6)*(Phases!$B$3:$B$900=B6)*(Phases!$C$3:$C$900=C6)))</f>
        <v/>
      </c>
      <c r="L6" s="28">
        <f>IF(A6="","",IF(COUNTIF(Programmes!$A$3:$A$60,A6)=0,"programme inconnu",IF(K6=0,"aucune phase","ok")))</f>
        <v/>
      </c>
      <c r="N6" t="inlineStr">
        <is>
          <t>USD</t>
        </is>
      </c>
    </row>
    <row r="7">
      <c r="A7" s="16" t="inlineStr">
        <is>
          <t>zero</t>
        </is>
      </c>
      <c r="B7" s="21" t="n">
        <v>100000</v>
      </c>
      <c r="C7" s="16" t="n"/>
      <c r="D7" s="16" t="inlineStr">
        <is>
          <t>USD</t>
        </is>
      </c>
      <c r="E7" s="29" t="n">
        <v>444</v>
      </c>
      <c r="F7" s="16" t="n"/>
      <c r="G7" s="16" t="inlineStr">
        <is>
          <t>one_time</t>
        </is>
      </c>
      <c r="H7" s="16" t="n"/>
      <c r="I7" s="29" t="n"/>
      <c r="J7" s="29" t="n">
        <v>0</v>
      </c>
      <c r="K7" s="26">
        <f>IF(A7="","",SUMPRODUCT((Phases!$A$3:$A$900=A7)*(Phases!$B$3:$B$900=B7)*(Phases!$C$3:$C$900=C7)))</f>
        <v/>
      </c>
      <c r="L7" s="28">
        <f>IF(A7="","",IF(COUNTIF(Programmes!$A$3:$A$60,A7)=0,"programme inconnu",IF(K7=0,"aucune phase","ok")))</f>
        <v/>
      </c>
      <c r="N7" t="inlineStr">
        <is>
          <t>USD</t>
        </is>
      </c>
    </row>
    <row r="8">
      <c r="A8" s="16" t="inlineStr">
        <is>
          <t>zero</t>
        </is>
      </c>
      <c r="B8" s="21" t="n">
        <v>200000</v>
      </c>
      <c r="C8" s="16" t="n"/>
      <c r="D8" s="16" t="inlineStr">
        <is>
          <t>USD</t>
        </is>
      </c>
      <c r="E8" s="29" t="n">
        <v>888</v>
      </c>
      <c r="F8" s="16" t="n"/>
      <c r="G8" s="16" t="inlineStr">
        <is>
          <t>one_time</t>
        </is>
      </c>
      <c r="H8" s="16" t="n"/>
      <c r="I8" s="29" t="n"/>
      <c r="J8" s="29" t="n">
        <v>0</v>
      </c>
      <c r="K8" s="26">
        <f>IF(A8="","",SUMPRODUCT((Phases!$A$3:$A$900=A8)*(Phases!$B$3:$B$900=B8)*(Phases!$C$3:$C$900=C8)))</f>
        <v/>
      </c>
      <c r="L8" s="28">
        <f>IF(A8="","",IF(COUNTIF(Programmes!$A$3:$A$60,A8)=0,"programme inconnu",IF(K8=0,"aucune phase","ok")))</f>
        <v/>
      </c>
      <c r="N8" t="inlineStr">
        <is>
          <t>USD</t>
        </is>
      </c>
    </row>
    <row r="9">
      <c r="A9" s="16" t="inlineStr">
        <is>
          <t>flex-1-step</t>
        </is>
      </c>
      <c r="B9" s="21" t="n">
        <v>5000</v>
      </c>
      <c r="C9" s="16" t="n"/>
      <c r="D9" s="16" t="inlineStr">
        <is>
          <t>USD</t>
        </is>
      </c>
      <c r="E9" s="29" t="n">
        <v>74</v>
      </c>
      <c r="F9" s="16" t="n"/>
      <c r="G9" s="16" t="inlineStr">
        <is>
          <t>one_time</t>
        </is>
      </c>
      <c r="H9" s="16" t="n"/>
      <c r="I9" s="29" t="n"/>
      <c r="J9" s="29" t="n">
        <v>0</v>
      </c>
      <c r="K9" s="26">
        <f>IF(A9="","",SUMPRODUCT((Phases!$A$3:$A$900=A9)*(Phases!$B$3:$B$900=B9)*(Phases!$C$3:$C$900=C9)))</f>
        <v/>
      </c>
      <c r="L9" s="28">
        <f>IF(A9="","",IF(COUNTIF(Programmes!$A$3:$A$60,A9)=0,"programme inconnu",IF(K9=0,"aucune phase","ok")))</f>
        <v/>
      </c>
      <c r="N9" t="inlineStr">
        <is>
          <t>USD</t>
        </is>
      </c>
    </row>
    <row r="10">
      <c r="A10" s="16" t="inlineStr">
        <is>
          <t>flex-1-step</t>
        </is>
      </c>
      <c r="B10" s="21" t="n">
        <v>10000</v>
      </c>
      <c r="C10" s="16" t="n"/>
      <c r="D10" s="16" t="inlineStr">
        <is>
          <t>USD</t>
        </is>
      </c>
      <c r="E10" s="29" t="n">
        <v>111</v>
      </c>
      <c r="F10" s="16" t="n"/>
      <c r="G10" s="16" t="inlineStr">
        <is>
          <t>one_time</t>
        </is>
      </c>
      <c r="H10" s="16" t="n"/>
      <c r="I10" s="29" t="n"/>
      <c r="J10" s="29" t="n">
        <v>0</v>
      </c>
      <c r="K10" s="26">
        <f>IF(A10="","",SUMPRODUCT((Phases!$A$3:$A$900=A10)*(Phases!$B$3:$B$900=B10)*(Phases!$C$3:$C$900=C10)))</f>
        <v/>
      </c>
      <c r="L10" s="28">
        <f>IF(A10="","",IF(COUNTIF(Programmes!$A$3:$A$60,A10)=0,"programme inconnu",IF(K10=0,"aucune phase","ok")))</f>
        <v/>
      </c>
      <c r="N10" t="inlineStr">
        <is>
          <t>USD</t>
        </is>
      </c>
    </row>
    <row r="11">
      <c r="A11" s="16" t="inlineStr">
        <is>
          <t>flex-1-step</t>
        </is>
      </c>
      <c r="B11" s="21" t="n">
        <v>25000</v>
      </c>
      <c r="C11" s="16" t="n"/>
      <c r="D11" s="16" t="inlineStr">
        <is>
          <t>USD</t>
        </is>
      </c>
      <c r="E11" s="29" t="n">
        <v>255</v>
      </c>
      <c r="F11" s="16" t="n"/>
      <c r="G11" s="16" t="inlineStr">
        <is>
          <t>one_time</t>
        </is>
      </c>
      <c r="H11" s="16" t="n"/>
      <c r="I11" s="29" t="n"/>
      <c r="J11" s="29" t="n">
        <v>0</v>
      </c>
      <c r="K11" s="26">
        <f>IF(A11="","",SUMPRODUCT((Phases!$A$3:$A$900=A11)*(Phases!$B$3:$B$900=B11)*(Phases!$C$3:$C$900=C11)))</f>
        <v/>
      </c>
      <c r="L11" s="28">
        <f>IF(A11="","",IF(COUNTIF(Programmes!$A$3:$A$60,A11)=0,"programme inconnu",IF(K11=0,"aucune phase","ok")))</f>
        <v/>
      </c>
      <c r="N11" t="inlineStr">
        <is>
          <t>USD</t>
        </is>
      </c>
    </row>
    <row r="12">
      <c r="A12" s="16" t="inlineStr">
        <is>
          <t>flex-1-step</t>
        </is>
      </c>
      <c r="B12" s="21" t="n">
        <v>50000</v>
      </c>
      <c r="C12" s="16" t="n"/>
      <c r="D12" s="16" t="inlineStr">
        <is>
          <t>USD</t>
        </is>
      </c>
      <c r="E12" s="29" t="n">
        <v>353</v>
      </c>
      <c r="F12" s="16" t="n"/>
      <c r="G12" s="16" t="inlineStr">
        <is>
          <t>one_time</t>
        </is>
      </c>
      <c r="H12" s="16" t="n"/>
      <c r="I12" s="29" t="n"/>
      <c r="J12" s="29" t="n">
        <v>0</v>
      </c>
      <c r="K12" s="26">
        <f>IF(A12="","",SUMPRODUCT((Phases!$A$3:$A$900=A12)*(Phases!$B$3:$B$900=B12)*(Phases!$C$3:$C$900=C12)))</f>
        <v/>
      </c>
      <c r="L12" s="28">
        <f>IF(A12="","",IF(COUNTIF(Programmes!$A$3:$A$60,A12)=0,"programme inconnu",IF(K12=0,"aucune phase","ok")))</f>
        <v/>
      </c>
      <c r="N12" t="inlineStr">
        <is>
          <t>USD</t>
        </is>
      </c>
    </row>
    <row r="13">
      <c r="A13" s="16" t="inlineStr">
        <is>
          <t>flex-1-step</t>
        </is>
      </c>
      <c r="B13" s="21" t="n">
        <v>100000</v>
      </c>
      <c r="C13" s="16" t="n"/>
      <c r="D13" s="16" t="inlineStr">
        <is>
          <t>USD</t>
        </is>
      </c>
      <c r="E13" s="29" t="n">
        <v>666</v>
      </c>
      <c r="F13" s="16" t="n"/>
      <c r="G13" s="16" t="inlineStr">
        <is>
          <t>one_time</t>
        </is>
      </c>
      <c r="H13" s="16" t="n"/>
      <c r="I13" s="29" t="n"/>
      <c r="J13" s="29" t="n">
        <v>0</v>
      </c>
      <c r="K13" s="26">
        <f>IF(A13="","",SUMPRODUCT((Phases!$A$3:$A$900=A13)*(Phases!$B$3:$B$900=B13)*(Phases!$C$3:$C$900=C13)))</f>
        <v/>
      </c>
      <c r="L13" s="28">
        <f>IF(A13="","",IF(COUNTIF(Programmes!$A$3:$A$60,A13)=0,"programme inconnu",IF(K13=0,"aucune phase","ok")))</f>
        <v/>
      </c>
      <c r="N13" t="inlineStr">
        <is>
          <t>USD</t>
        </is>
      </c>
    </row>
    <row r="14">
      <c r="A14" s="16" t="inlineStr">
        <is>
          <t>standard-2-step</t>
        </is>
      </c>
      <c r="B14" s="21" t="n">
        <v>5000</v>
      </c>
      <c r="C14" s="16" t="n"/>
      <c r="D14" s="16" t="inlineStr">
        <is>
          <t>USD</t>
        </is>
      </c>
      <c r="E14" s="29" t="n">
        <v>44</v>
      </c>
      <c r="F14" s="16" t="n"/>
      <c r="G14" s="16" t="inlineStr">
        <is>
          <t>one_time</t>
        </is>
      </c>
      <c r="H14" s="16" t="n"/>
      <c r="I14" s="29" t="n"/>
      <c r="J14" s="29" t="n">
        <v>0</v>
      </c>
      <c r="K14" s="26">
        <f>IF(A14="","",SUMPRODUCT((Phases!$A$3:$A$900=A14)*(Phases!$B$3:$B$900=B14)*(Phases!$C$3:$C$900=C14)))</f>
        <v/>
      </c>
      <c r="L14" s="28">
        <f>IF(A14="","",IF(COUNTIF(Programmes!$A$3:$A$60,A14)=0,"programme inconnu",IF(K14=0,"aucune phase","ok")))</f>
        <v/>
      </c>
      <c r="N14" t="inlineStr">
        <is>
          <t>USD</t>
        </is>
      </c>
    </row>
    <row r="15">
      <c r="A15" s="16" t="inlineStr">
        <is>
          <t>standard-2-step</t>
        </is>
      </c>
      <c r="B15" s="21" t="n">
        <v>10000</v>
      </c>
      <c r="C15" s="16" t="n"/>
      <c r="D15" s="16" t="inlineStr">
        <is>
          <t>USD</t>
        </is>
      </c>
      <c r="E15" s="29" t="n">
        <v>80</v>
      </c>
      <c r="F15" s="16" t="n"/>
      <c r="G15" s="16" t="inlineStr">
        <is>
          <t>one_time</t>
        </is>
      </c>
      <c r="H15" s="16" t="n"/>
      <c r="I15" s="29" t="n"/>
      <c r="J15" s="29" t="n">
        <v>0</v>
      </c>
      <c r="K15" s="26">
        <f>IF(A15="","",SUMPRODUCT((Phases!$A$3:$A$900=A15)*(Phases!$B$3:$B$900=B15)*(Phases!$C$3:$C$900=C15)))</f>
        <v/>
      </c>
      <c r="L15" s="28">
        <f>IF(A15="","",IF(COUNTIF(Programmes!$A$3:$A$60,A15)=0,"programme inconnu",IF(K15=0,"aucune phase","ok")))</f>
        <v/>
      </c>
      <c r="N15" t="inlineStr">
        <is>
          <t>USD</t>
        </is>
      </c>
    </row>
    <row r="16">
      <c r="A16" s="16" t="inlineStr">
        <is>
          <t>standard-2-step</t>
        </is>
      </c>
      <c r="B16" s="21" t="n">
        <v>25000</v>
      </c>
      <c r="C16" s="16" t="n"/>
      <c r="D16" s="16" t="inlineStr">
        <is>
          <t>USD</t>
        </is>
      </c>
      <c r="E16" s="29" t="n">
        <v>216</v>
      </c>
      <c r="F16" s="16" t="n"/>
      <c r="G16" s="16" t="inlineStr">
        <is>
          <t>one_time</t>
        </is>
      </c>
      <c r="H16" s="16" t="n"/>
      <c r="I16" s="29" t="n"/>
      <c r="J16" s="29" t="n">
        <v>0</v>
      </c>
      <c r="K16" s="26">
        <f>IF(A16="","",SUMPRODUCT((Phases!$A$3:$A$900=A16)*(Phases!$B$3:$B$900=B16)*(Phases!$C$3:$C$900=C16)))</f>
        <v/>
      </c>
      <c r="L16" s="28">
        <f>IF(A16="","",IF(COUNTIF(Programmes!$A$3:$A$60,A16)=0,"programme inconnu",IF(K16=0,"aucune phase","ok")))</f>
        <v/>
      </c>
      <c r="N16" t="inlineStr">
        <is>
          <t>USD</t>
        </is>
      </c>
    </row>
    <row r="17">
      <c r="A17" s="16" t="inlineStr">
        <is>
          <t>standard-2-step</t>
        </is>
      </c>
      <c r="B17" s="21" t="n">
        <v>50000</v>
      </c>
      <c r="C17" s="16" t="n"/>
      <c r="D17" s="16" t="inlineStr">
        <is>
          <t>USD</t>
        </is>
      </c>
      <c r="E17" s="29" t="n">
        <v>349</v>
      </c>
      <c r="F17" s="16" t="n"/>
      <c r="G17" s="16" t="inlineStr">
        <is>
          <t>one_time</t>
        </is>
      </c>
      <c r="H17" s="16" t="n"/>
      <c r="I17" s="29" t="n"/>
      <c r="J17" s="29" t="n">
        <v>0</v>
      </c>
      <c r="K17" s="26">
        <f>IF(A17="","",SUMPRODUCT((Phases!$A$3:$A$900=A17)*(Phases!$B$3:$B$900=B17)*(Phases!$C$3:$C$900=C17)))</f>
        <v/>
      </c>
      <c r="L17" s="28">
        <f>IF(A17="","",IF(COUNTIF(Programmes!$A$3:$A$60,A17)=0,"programme inconnu",IF(K17=0,"aucune phase","ok")))</f>
        <v/>
      </c>
      <c r="N17" t="inlineStr">
        <is>
          <t>USD</t>
        </is>
      </c>
    </row>
    <row r="18">
      <c r="A18" s="16" t="inlineStr">
        <is>
          <t>standard-2-step</t>
        </is>
      </c>
      <c r="B18" s="21" t="n">
        <v>100000</v>
      </c>
      <c r="C18" s="16" t="n"/>
      <c r="D18" s="16" t="inlineStr">
        <is>
          <t>USD</t>
        </is>
      </c>
      <c r="E18" s="29" t="n">
        <v>652</v>
      </c>
      <c r="F18" s="16" t="inlineStr">
        <is>
          <t>oui</t>
        </is>
      </c>
      <c r="G18" s="16" t="inlineStr">
        <is>
          <t>one_time</t>
        </is>
      </c>
      <c r="H18" s="16" t="n"/>
      <c r="I18" s="29" t="n"/>
      <c r="J18" s="29" t="n">
        <v>0</v>
      </c>
      <c r="K18" s="26">
        <f>IF(A18="","",SUMPRODUCT((Phases!$A$3:$A$900=A18)*(Phases!$B$3:$B$900=B18)*(Phases!$C$3:$C$900=C18)))</f>
        <v/>
      </c>
      <c r="L18" s="28">
        <f>IF(A18="","",IF(COUNTIF(Programmes!$A$3:$A$60,A18)=0,"programme inconnu",IF(K18=0,"aucune phase","ok")))</f>
        <v/>
      </c>
      <c r="N18" t="inlineStr">
        <is>
          <t>USD</t>
        </is>
      </c>
    </row>
    <row r="19">
      <c r="A19" s="16" t="inlineStr">
        <is>
          <t>pro-2-step</t>
        </is>
      </c>
      <c r="B19" s="21" t="n">
        <v>5000</v>
      </c>
      <c r="C19" s="16" t="n"/>
      <c r="D19" s="16" t="inlineStr">
        <is>
          <t>USD</t>
        </is>
      </c>
      <c r="E19" s="29" t="n">
        <v>33</v>
      </c>
      <c r="F19" s="16" t="n"/>
      <c r="G19" s="16" t="inlineStr">
        <is>
          <t>one_time</t>
        </is>
      </c>
      <c r="H19" s="16" t="n"/>
      <c r="I19" s="29" t="n"/>
      <c r="J19" s="29" t="n">
        <v>0</v>
      </c>
      <c r="K19" s="26">
        <f>IF(A19="","",SUMPRODUCT((Phases!$A$3:$A$900=A19)*(Phases!$B$3:$B$900=B19)*(Phases!$C$3:$C$900=C19)))</f>
        <v/>
      </c>
      <c r="L19" s="28">
        <f>IF(A19="","",IF(COUNTIF(Programmes!$A$3:$A$60,A19)=0,"programme inconnu",IF(K19=0,"aucune phase","ok")))</f>
        <v/>
      </c>
      <c r="N19" t="inlineStr">
        <is>
          <t>USD</t>
        </is>
      </c>
    </row>
    <row r="20">
      <c r="A20" s="16" t="inlineStr">
        <is>
          <t>pro-2-step</t>
        </is>
      </c>
      <c r="B20" s="21" t="n">
        <v>10000</v>
      </c>
      <c r="C20" s="16" t="n"/>
      <c r="D20" s="16" t="inlineStr">
        <is>
          <t>USD</t>
        </is>
      </c>
      <c r="E20" s="29" t="n">
        <v>62</v>
      </c>
      <c r="F20" s="16" t="n"/>
      <c r="G20" s="16" t="inlineStr">
        <is>
          <t>one_time</t>
        </is>
      </c>
      <c r="H20" s="16" t="n"/>
      <c r="I20" s="29" t="n"/>
      <c r="J20" s="29" t="n">
        <v>0</v>
      </c>
      <c r="K20" s="26">
        <f>IF(A20="","",SUMPRODUCT((Phases!$A$3:$A$900=A20)*(Phases!$B$3:$B$900=B20)*(Phases!$C$3:$C$900=C20)))</f>
        <v/>
      </c>
      <c r="L20" s="28">
        <f>IF(A20="","",IF(COUNTIF(Programmes!$A$3:$A$60,A20)=0,"programme inconnu",IF(K20=0,"aucune phase","ok")))</f>
        <v/>
      </c>
      <c r="N20" t="inlineStr">
        <is>
          <t>USD</t>
        </is>
      </c>
    </row>
    <row r="21">
      <c r="A21" s="16" t="inlineStr">
        <is>
          <t>pro-2-step</t>
        </is>
      </c>
      <c r="B21" s="21" t="n">
        <v>25000</v>
      </c>
      <c r="C21" s="16" t="n"/>
      <c r="D21" s="16" t="inlineStr">
        <is>
          <t>USD</t>
        </is>
      </c>
      <c r="E21" s="29" t="n">
        <v>149</v>
      </c>
      <c r="F21" s="16" t="n"/>
      <c r="G21" s="16" t="inlineStr">
        <is>
          <t>one_time</t>
        </is>
      </c>
      <c r="H21" s="16" t="n"/>
      <c r="I21" s="29" t="n"/>
      <c r="J21" s="29" t="n">
        <v>0</v>
      </c>
      <c r="K21" s="26">
        <f>IF(A21="","",SUMPRODUCT((Phases!$A$3:$A$900=A21)*(Phases!$B$3:$B$900=B21)*(Phases!$C$3:$C$900=C21)))</f>
        <v/>
      </c>
      <c r="L21" s="28">
        <f>IF(A21="","",IF(COUNTIF(Programmes!$A$3:$A$60,A21)=0,"programme inconnu",IF(K21=0,"aucune phase","ok")))</f>
        <v/>
      </c>
      <c r="N21" t="inlineStr">
        <is>
          <t>USD</t>
        </is>
      </c>
    </row>
    <row r="22">
      <c r="A22" s="16" t="inlineStr">
        <is>
          <t>pro-2-step</t>
        </is>
      </c>
      <c r="B22" s="21" t="n">
        <v>50000</v>
      </c>
      <c r="C22" s="16" t="n"/>
      <c r="D22" s="16" t="inlineStr">
        <is>
          <t>USD</t>
        </is>
      </c>
      <c r="E22" s="29" t="n">
        <v>249</v>
      </c>
      <c r="F22" s="16" t="n"/>
      <c r="G22" s="16" t="inlineStr">
        <is>
          <t>one_time</t>
        </is>
      </c>
      <c r="H22" s="16" t="n"/>
      <c r="I22" s="29" t="n"/>
      <c r="J22" s="29" t="n">
        <v>0</v>
      </c>
      <c r="K22" s="26">
        <f>IF(A22="","",SUMPRODUCT((Phases!$A$3:$A$900=A22)*(Phases!$B$3:$B$900=B22)*(Phases!$C$3:$C$900=C22)))</f>
        <v/>
      </c>
      <c r="L22" s="28">
        <f>IF(A22="","",IF(COUNTIF(Programmes!$A$3:$A$60,A22)=0,"programme inconnu",IF(K22=0,"aucune phase","ok")))</f>
        <v/>
      </c>
      <c r="N22" t="inlineStr">
        <is>
          <t>USD</t>
        </is>
      </c>
    </row>
    <row r="23">
      <c r="A23" s="16" t="inlineStr">
        <is>
          <t>pro-2-step</t>
        </is>
      </c>
      <c r="B23" s="21" t="n">
        <v>100000</v>
      </c>
      <c r="C23" s="16" t="n"/>
      <c r="D23" s="16" t="inlineStr">
        <is>
          <t>USD</t>
        </is>
      </c>
      <c r="E23" s="29" t="n">
        <v>466</v>
      </c>
      <c r="F23" s="16" t="n"/>
      <c r="G23" s="16" t="inlineStr">
        <is>
          <t>one_time</t>
        </is>
      </c>
      <c r="H23" s="16" t="n"/>
      <c r="I23" s="29" t="n"/>
      <c r="J23" s="29" t="n">
        <v>0</v>
      </c>
      <c r="K23" s="26">
        <f>IF(A23="","",SUMPRODUCT((Phases!$A$3:$A$900=A23)*(Phases!$B$3:$B$900=B23)*(Phases!$C$3:$C$900=C23)))</f>
        <v/>
      </c>
      <c r="L23" s="28">
        <f>IF(A23="","",IF(COUNTIF(Programmes!$A$3:$A$60,A23)=0,"programme inconnu",IF(K23=0,"aucune phase","ok")))</f>
        <v/>
      </c>
      <c r="N23" t="inlineStr">
        <is>
          <t>USD</t>
        </is>
      </c>
    </row>
    <row r="24">
      <c r="A24" s="16" t="inlineStr">
        <is>
          <t>pro-2-step</t>
        </is>
      </c>
      <c r="B24" s="21" t="n">
        <v>200000</v>
      </c>
      <c r="C24" s="16" t="n"/>
      <c r="D24" s="16" t="inlineStr">
        <is>
          <t>USD</t>
        </is>
      </c>
      <c r="E24" s="29" t="n">
        <v>919</v>
      </c>
      <c r="F24" s="16" t="n"/>
      <c r="G24" s="16" t="inlineStr">
        <is>
          <t>one_time</t>
        </is>
      </c>
      <c r="H24" s="16" t="n"/>
      <c r="I24" s="29" t="n"/>
      <c r="J24" s="29" t="n">
        <v>0</v>
      </c>
      <c r="K24" s="26">
        <f>IF(A24="","",SUMPRODUCT((Phases!$A$3:$A$900=A24)*(Phases!$B$3:$B$900=B24)*(Phases!$C$3:$C$900=C24)))</f>
        <v/>
      </c>
      <c r="L24" s="28">
        <f>IF(A24="","",IF(COUNTIF(Programmes!$A$3:$A$60,A24)=0,"programme inconnu",IF(K24=0,"aucune phase","ok")))</f>
        <v/>
      </c>
      <c r="N24" t="inlineStr">
        <is>
          <t>USD</t>
        </is>
      </c>
    </row>
    <row r="25">
      <c r="A25" s="16" t="inlineStr">
        <is>
          <t>flex-2-step</t>
        </is>
      </c>
      <c r="B25" s="21" t="n">
        <v>5000</v>
      </c>
      <c r="C25" s="16" t="n"/>
      <c r="D25" s="16" t="inlineStr">
        <is>
          <t>USD</t>
        </is>
      </c>
      <c r="E25" s="29" t="n">
        <v>39</v>
      </c>
      <c r="F25" s="16" t="n"/>
      <c r="G25" s="16" t="inlineStr">
        <is>
          <t>one_time</t>
        </is>
      </c>
      <c r="H25" s="16" t="n"/>
      <c r="I25" s="29" t="n"/>
      <c r="J25" s="29" t="n">
        <v>0</v>
      </c>
      <c r="K25" s="26">
        <f>IF(A25="","",SUMPRODUCT((Phases!$A$3:$A$900=A25)*(Phases!$B$3:$B$900=B25)*(Phases!$C$3:$C$900=C25)))</f>
        <v/>
      </c>
      <c r="L25" s="28">
        <f>IF(A25="","",IF(COUNTIF(Programmes!$A$3:$A$60,A25)=0,"programme inconnu",IF(K25=0,"aucune phase","ok")))</f>
        <v/>
      </c>
      <c r="N25" t="inlineStr">
        <is>
          <t>USD</t>
        </is>
      </c>
    </row>
    <row r="26">
      <c r="A26" s="16" t="inlineStr">
        <is>
          <t>flex-2-step</t>
        </is>
      </c>
      <c r="B26" s="21" t="n">
        <v>10000</v>
      </c>
      <c r="C26" s="16" t="n"/>
      <c r="D26" s="16" t="inlineStr">
        <is>
          <t>USD</t>
        </is>
      </c>
      <c r="E26" s="29" t="n">
        <v>70</v>
      </c>
      <c r="F26" s="16" t="n"/>
      <c r="G26" s="16" t="inlineStr">
        <is>
          <t>one_time</t>
        </is>
      </c>
      <c r="H26" s="16" t="n"/>
      <c r="I26" s="29" t="n"/>
      <c r="J26" s="29" t="n">
        <v>0</v>
      </c>
      <c r="K26" s="26">
        <f>IF(A26="","",SUMPRODUCT((Phases!$A$3:$A$900=A26)*(Phases!$B$3:$B$900=B26)*(Phases!$C$3:$C$900=C26)))</f>
        <v/>
      </c>
      <c r="L26" s="28">
        <f>IF(A26="","",IF(COUNTIF(Programmes!$A$3:$A$60,A26)=0,"programme inconnu",IF(K26=0,"aucune phase","ok")))</f>
        <v/>
      </c>
      <c r="N26" t="inlineStr">
        <is>
          <t>USD</t>
        </is>
      </c>
    </row>
    <row r="27">
      <c r="A27" s="16" t="inlineStr">
        <is>
          <t>flex-2-step</t>
        </is>
      </c>
      <c r="B27" s="21" t="n">
        <v>25000</v>
      </c>
      <c r="C27" s="16" t="n"/>
      <c r="D27" s="16" t="inlineStr">
        <is>
          <t>USD</t>
        </is>
      </c>
      <c r="E27" s="29" t="n">
        <v>188</v>
      </c>
      <c r="F27" s="16" t="n"/>
      <c r="G27" s="16" t="inlineStr">
        <is>
          <t>one_time</t>
        </is>
      </c>
      <c r="H27" s="16" t="n"/>
      <c r="I27" s="29" t="n"/>
      <c r="J27" s="29" t="n">
        <v>0</v>
      </c>
      <c r="K27" s="26">
        <f>IF(A27="","",SUMPRODUCT((Phases!$A$3:$A$900=A27)*(Phases!$B$3:$B$900=B27)*(Phases!$C$3:$C$900=C27)))</f>
        <v/>
      </c>
      <c r="L27" s="28">
        <f>IF(A27="","",IF(COUNTIF(Programmes!$A$3:$A$60,A27)=0,"programme inconnu",IF(K27=0,"aucune phase","ok")))</f>
        <v/>
      </c>
      <c r="N27" t="inlineStr">
        <is>
          <t>USD</t>
        </is>
      </c>
    </row>
    <row r="28">
      <c r="A28" s="16" t="inlineStr">
        <is>
          <t>flex-2-step</t>
        </is>
      </c>
      <c r="B28" s="21" t="n">
        <v>50000</v>
      </c>
      <c r="C28" s="16" t="n"/>
      <c r="D28" s="16" t="inlineStr">
        <is>
          <t>USD</t>
        </is>
      </c>
      <c r="E28" s="29" t="n">
        <v>299</v>
      </c>
      <c r="F28" s="16" t="n"/>
      <c r="G28" s="16" t="inlineStr">
        <is>
          <t>one_time</t>
        </is>
      </c>
      <c r="H28" s="16" t="n"/>
      <c r="I28" s="29" t="n"/>
      <c r="J28" s="29" t="n">
        <v>0</v>
      </c>
      <c r="K28" s="26">
        <f>IF(A28="","",SUMPRODUCT((Phases!$A$3:$A$900=A28)*(Phases!$B$3:$B$900=B28)*(Phases!$C$3:$C$900=C28)))</f>
        <v/>
      </c>
      <c r="L28" s="28">
        <f>IF(A28="","",IF(COUNTIF(Programmes!$A$3:$A$60,A28)=0,"programme inconnu",IF(K28=0,"aucune phase","ok")))</f>
        <v/>
      </c>
      <c r="N28" t="inlineStr">
        <is>
          <t>USD</t>
        </is>
      </c>
    </row>
    <row r="29">
      <c r="A29" s="16" t="inlineStr">
        <is>
          <t>flex-2-step</t>
        </is>
      </c>
      <c r="B29" s="21" t="n">
        <v>100000</v>
      </c>
      <c r="C29" s="16" t="n"/>
      <c r="D29" s="16" t="inlineStr">
        <is>
          <t>USD</t>
        </is>
      </c>
      <c r="E29" s="29" t="n">
        <v>555</v>
      </c>
      <c r="F29" s="16" t="n"/>
      <c r="G29" s="16" t="inlineStr">
        <is>
          <t>one_time</t>
        </is>
      </c>
      <c r="H29" s="16" t="n"/>
      <c r="I29" s="29" t="n"/>
      <c r="J29" s="29" t="n">
        <v>0</v>
      </c>
      <c r="K29" s="26">
        <f>IF(A29="","",SUMPRODUCT((Phases!$A$3:$A$900=A29)*(Phases!$B$3:$B$900=B29)*(Phases!$C$3:$C$900=C29)))</f>
        <v/>
      </c>
      <c r="L29" s="28">
        <f>IF(A29="","",IF(COUNTIF(Programmes!$A$3:$A$60,A29)=0,"programme inconnu",IF(K29=0,"aucune phase","ok")))</f>
        <v/>
      </c>
      <c r="N29" t="inlineStr">
        <is>
          <t>USD</t>
        </is>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zero</t>
        </is>
      </c>
      <c r="B3" s="22" t="n">
        <v>5000</v>
      </c>
      <c r="C3" s="17" t="n"/>
      <c r="D3" s="17" t="inlineStr">
        <is>
          <t>funded</t>
        </is>
      </c>
      <c r="E3" s="22" t="n"/>
      <c r="F3" s="22" t="n">
        <v>250</v>
      </c>
      <c r="G3" s="17" t="inlineStr">
        <is>
          <t>Trailing Equity</t>
        </is>
      </c>
      <c r="H3" s="22" t="n">
        <v>150</v>
      </c>
      <c r="I3" s="24" t="n">
        <v>7</v>
      </c>
      <c r="J3" s="30" t="n">
        <v>0.15</v>
      </c>
      <c r="K3" s="24" t="n"/>
      <c r="L3" s="30" t="n">
        <v>0.95</v>
      </c>
      <c r="M3" s="22" t="n"/>
      <c r="N3" s="22" t="n">
        <v>50</v>
      </c>
      <c r="O3" s="28">
        <f>IF(A3="","",IF(SUMPRODUCT((Plans!$A$3:$A$300=A3)*(Plans!$B$3:$B$300=B3)*(Plans!$C$3:$C$300=C3))=0,"PLAN INCONNU","ok"))</f>
        <v/>
      </c>
    </row>
    <row r="4">
      <c r="A4" s="17" t="inlineStr">
        <is>
          <t>zero</t>
        </is>
      </c>
      <c r="B4" s="22" t="n">
        <v>10000</v>
      </c>
      <c r="C4" s="17" t="n"/>
      <c r="D4" s="17" t="inlineStr">
        <is>
          <t>funded</t>
        </is>
      </c>
      <c r="E4" s="22" t="n"/>
      <c r="F4" s="22" t="n">
        <v>500</v>
      </c>
      <c r="G4" s="17" t="inlineStr">
        <is>
          <t>Trailing Equity</t>
        </is>
      </c>
      <c r="H4" s="22" t="n">
        <v>300</v>
      </c>
      <c r="I4" s="24" t="n">
        <v>7</v>
      </c>
      <c r="J4" s="30" t="n">
        <v>0.15</v>
      </c>
      <c r="K4" s="24" t="n"/>
      <c r="L4" s="30" t="n">
        <v>0.95</v>
      </c>
      <c r="M4" s="22" t="n"/>
      <c r="N4" s="22" t="n">
        <v>100</v>
      </c>
      <c r="O4" s="28">
        <f>IF(A4="","",IF(SUMPRODUCT((Plans!$A$3:$A$300=A4)*(Plans!$B$3:$B$300=B4)*(Plans!$C$3:$C$300=C4))=0,"PLAN INCONNU","ok"))</f>
        <v/>
      </c>
    </row>
    <row r="5">
      <c r="A5" s="16" t="inlineStr">
        <is>
          <t>zero</t>
        </is>
      </c>
      <c r="B5" s="21" t="n">
        <v>25000</v>
      </c>
      <c r="C5" s="16" t="n"/>
      <c r="D5" s="16" t="inlineStr">
        <is>
          <t>funded</t>
        </is>
      </c>
      <c r="E5" s="21" t="n"/>
      <c r="F5" s="21" t="n">
        <v>1250</v>
      </c>
      <c r="G5" s="16" t="inlineStr">
        <is>
          <t>Trailing Equity</t>
        </is>
      </c>
      <c r="H5" s="21" t="n">
        <v>750</v>
      </c>
      <c r="I5" s="23" t="n">
        <v>7</v>
      </c>
      <c r="J5" s="31" t="n">
        <v>0.15</v>
      </c>
      <c r="K5" s="23" t="n"/>
      <c r="L5" s="31" t="n">
        <v>0.95</v>
      </c>
      <c r="M5" s="21" t="n"/>
      <c r="N5" s="21" t="n">
        <v>250</v>
      </c>
      <c r="O5" s="28">
        <f>IF(A5="","",IF(SUMPRODUCT((Plans!$A$3:$A$300=A5)*(Plans!$B$3:$B$300=B5)*(Plans!$C$3:$C$300=C5))=0,"PLAN INCONNU","ok"))</f>
        <v/>
      </c>
    </row>
    <row r="6">
      <c r="A6" s="16" t="inlineStr">
        <is>
          <t>zero</t>
        </is>
      </c>
      <c r="B6" s="21" t="n">
        <v>50000</v>
      </c>
      <c r="C6" s="16" t="n"/>
      <c r="D6" s="16" t="inlineStr">
        <is>
          <t>funded</t>
        </is>
      </c>
      <c r="E6" s="21" t="n"/>
      <c r="F6" s="21" t="n">
        <v>2500</v>
      </c>
      <c r="G6" s="16" t="inlineStr">
        <is>
          <t>Trailing Equity</t>
        </is>
      </c>
      <c r="H6" s="21" t="n">
        <v>1500</v>
      </c>
      <c r="I6" s="23" t="n">
        <v>7</v>
      </c>
      <c r="J6" s="31" t="n">
        <v>0.15</v>
      </c>
      <c r="K6" s="23" t="n"/>
      <c r="L6" s="31" t="n">
        <v>0.95</v>
      </c>
      <c r="M6" s="21" t="n"/>
      <c r="N6" s="21" t="n">
        <v>500</v>
      </c>
      <c r="O6" s="28">
        <f>IF(A6="","",IF(SUMPRODUCT((Plans!$A$3:$A$300=A6)*(Plans!$B$3:$B$300=B6)*(Plans!$C$3:$C$300=C6))=0,"PLAN INCONNU","ok"))</f>
        <v/>
      </c>
    </row>
    <row r="7">
      <c r="A7" s="16" t="inlineStr">
        <is>
          <t>zero</t>
        </is>
      </c>
      <c r="B7" s="21" t="n">
        <v>100000</v>
      </c>
      <c r="C7" s="16" t="n"/>
      <c r="D7" s="16" t="inlineStr">
        <is>
          <t>funded</t>
        </is>
      </c>
      <c r="E7" s="21" t="n"/>
      <c r="F7" s="21" t="n">
        <v>5000</v>
      </c>
      <c r="G7" s="16" t="inlineStr">
        <is>
          <t>Trailing Equity</t>
        </is>
      </c>
      <c r="H7" s="21" t="n">
        <v>3000</v>
      </c>
      <c r="I7" s="23" t="n">
        <v>7</v>
      </c>
      <c r="J7" s="31" t="n">
        <v>0.15</v>
      </c>
      <c r="K7" s="23" t="n"/>
      <c r="L7" s="31" t="n">
        <v>0.95</v>
      </c>
      <c r="M7" s="21" t="n"/>
      <c r="N7" s="21" t="n">
        <v>1000</v>
      </c>
      <c r="O7" s="28">
        <f>IF(A7="","",IF(SUMPRODUCT((Plans!$A$3:$A$300=A7)*(Plans!$B$3:$B$300=B7)*(Plans!$C$3:$C$300=C7))=0,"PLAN INCONNU","ok"))</f>
        <v/>
      </c>
    </row>
    <row r="8">
      <c r="A8" s="16" t="inlineStr">
        <is>
          <t>zero</t>
        </is>
      </c>
      <c r="B8" s="21" t="n">
        <v>200000</v>
      </c>
      <c r="C8" s="16" t="n"/>
      <c r="D8" s="16" t="inlineStr">
        <is>
          <t>funded</t>
        </is>
      </c>
      <c r="E8" s="21" t="n"/>
      <c r="F8" s="21" t="n">
        <v>10000</v>
      </c>
      <c r="G8" s="16" t="inlineStr">
        <is>
          <t>Trailing Equity</t>
        </is>
      </c>
      <c r="H8" s="21" t="n">
        <v>6000</v>
      </c>
      <c r="I8" s="23" t="n">
        <v>7</v>
      </c>
      <c r="J8" s="31" t="n">
        <v>0.15</v>
      </c>
      <c r="K8" s="23" t="n"/>
      <c r="L8" s="31" t="n">
        <v>0.95</v>
      </c>
      <c r="M8" s="21" t="n"/>
      <c r="N8" s="21" t="n">
        <v>2000</v>
      </c>
      <c r="O8" s="28">
        <f>IF(A8="","",IF(SUMPRODUCT((Plans!$A$3:$A$300=A8)*(Plans!$B$3:$B$300=B8)*(Plans!$C$3:$C$300=C8))=0,"PLAN INCONNU","ok"))</f>
        <v/>
      </c>
    </row>
    <row r="9">
      <c r="A9" s="16" t="inlineStr">
        <is>
          <t>flex-1-step</t>
        </is>
      </c>
      <c r="B9" s="21" t="n">
        <v>5000</v>
      </c>
      <c r="C9" s="16" t="n"/>
      <c r="D9" s="16" t="inlineStr">
        <is>
          <t>evaluation</t>
        </is>
      </c>
      <c r="E9" s="21" t="n">
        <v>600</v>
      </c>
      <c r="F9" s="21" t="n">
        <v>600</v>
      </c>
      <c r="G9" s="16" t="inlineStr">
        <is>
          <t>Static</t>
        </is>
      </c>
      <c r="H9" s="21" t="n">
        <v>150</v>
      </c>
      <c r="I9" s="23" t="n">
        <v>0</v>
      </c>
      <c r="J9" s="31" t="n"/>
      <c r="K9" s="23" t="n"/>
      <c r="L9" s="31" t="n"/>
      <c r="M9" s="21" t="n"/>
      <c r="N9" s="21" t="n"/>
      <c r="O9" s="28">
        <f>IF(A9="","",IF(SUMPRODUCT((Plans!$A$3:$A$300=A9)*(Plans!$B$3:$B$300=B9)*(Plans!$C$3:$C$300=C9))=0,"PLAN INCONNU","ok"))</f>
        <v/>
      </c>
    </row>
    <row r="10">
      <c r="A10" s="16" t="inlineStr">
        <is>
          <t>flex-1-step</t>
        </is>
      </c>
      <c r="B10" s="21" t="n">
        <v>5000</v>
      </c>
      <c r="C10" s="16" t="n"/>
      <c r="D10" s="16" t="inlineStr">
        <is>
          <t>funded</t>
        </is>
      </c>
      <c r="E10" s="21" t="n"/>
      <c r="F10" s="21" t="n">
        <v>600</v>
      </c>
      <c r="G10" s="16" t="inlineStr">
        <is>
          <t>Static</t>
        </is>
      </c>
      <c r="H10" s="21" t="n">
        <v>150</v>
      </c>
      <c r="I10" s="23" t="n">
        <v>0</v>
      </c>
      <c r="J10" s="31" t="n"/>
      <c r="K10" s="23" t="n"/>
      <c r="L10" s="31" t="n">
        <v>1</v>
      </c>
      <c r="M10" s="21" t="n"/>
      <c r="N10" s="21" t="n">
        <v>50</v>
      </c>
      <c r="O10" s="28">
        <f>IF(A10="","",IF(SUMPRODUCT((Plans!$A$3:$A$300=A10)*(Plans!$B$3:$B$300=B10)*(Plans!$C$3:$C$300=C10))=0,"PLAN INCONNU","ok"))</f>
        <v/>
      </c>
      <c r="P10" t="n">
        <v>0.8</v>
      </c>
    </row>
    <row r="11">
      <c r="A11" s="16" t="inlineStr">
        <is>
          <t>flex-1-step</t>
        </is>
      </c>
      <c r="B11" s="21" t="n">
        <v>10000</v>
      </c>
      <c r="C11" s="16" t="n"/>
      <c r="D11" s="16" t="inlineStr">
        <is>
          <t>evaluation</t>
        </is>
      </c>
      <c r="E11" s="21" t="n">
        <v>1200</v>
      </c>
      <c r="F11" s="21" t="n">
        <v>1200</v>
      </c>
      <c r="G11" s="16" t="inlineStr">
        <is>
          <t>Static</t>
        </is>
      </c>
      <c r="H11" s="21" t="n">
        <v>300</v>
      </c>
      <c r="I11" s="23" t="n">
        <v>0</v>
      </c>
      <c r="J11" s="31" t="n"/>
      <c r="K11" s="23" t="n"/>
      <c r="L11" s="31" t="n"/>
      <c r="M11" s="21" t="n"/>
      <c r="N11" s="21" t="n"/>
      <c r="O11" s="28">
        <f>IF(A11="","",IF(SUMPRODUCT((Plans!$A$3:$A$300=A11)*(Plans!$B$3:$B$300=B11)*(Plans!$C$3:$C$300=C11))=0,"PLAN INCONNU","ok"))</f>
        <v/>
      </c>
    </row>
    <row r="12">
      <c r="A12" s="16" t="inlineStr">
        <is>
          <t>flex-1-step</t>
        </is>
      </c>
      <c r="B12" s="21" t="n">
        <v>10000</v>
      </c>
      <c r="C12" s="16" t="n"/>
      <c r="D12" s="16" t="inlineStr">
        <is>
          <t>funded</t>
        </is>
      </c>
      <c r="E12" s="21" t="n"/>
      <c r="F12" s="21" t="n">
        <v>1200</v>
      </c>
      <c r="G12" s="16" t="inlineStr">
        <is>
          <t>Static</t>
        </is>
      </c>
      <c r="H12" s="21" t="n">
        <v>300</v>
      </c>
      <c r="I12" s="23" t="n">
        <v>0</v>
      </c>
      <c r="J12" s="31" t="n"/>
      <c r="K12" s="23" t="n"/>
      <c r="L12" s="31" t="n">
        <v>1</v>
      </c>
      <c r="M12" s="21" t="n"/>
      <c r="N12" s="21" t="n">
        <v>100</v>
      </c>
      <c r="O12" s="28">
        <f>IF(A12="","",IF(SUMPRODUCT((Plans!$A$3:$A$300=A12)*(Plans!$B$3:$B$300=B12)*(Plans!$C$3:$C$300=C12))=0,"PLAN INCONNU","ok"))</f>
        <v/>
      </c>
      <c r="P12" t="n">
        <v>0.8</v>
      </c>
    </row>
    <row r="13">
      <c r="A13" s="16" t="inlineStr">
        <is>
          <t>flex-1-step</t>
        </is>
      </c>
      <c r="B13" s="21" t="n">
        <v>25000</v>
      </c>
      <c r="C13" s="16" t="n"/>
      <c r="D13" s="16" t="inlineStr">
        <is>
          <t>evaluation</t>
        </is>
      </c>
      <c r="E13" s="21" t="n">
        <v>3000</v>
      </c>
      <c r="F13" s="21" t="n">
        <v>3000</v>
      </c>
      <c r="G13" s="16" t="inlineStr">
        <is>
          <t>Static</t>
        </is>
      </c>
      <c r="H13" s="21" t="n">
        <v>750</v>
      </c>
      <c r="I13" s="23" t="n">
        <v>0</v>
      </c>
      <c r="J13" s="31" t="n"/>
      <c r="K13" s="23" t="n"/>
      <c r="L13" s="31" t="n"/>
      <c r="M13" s="21" t="n"/>
      <c r="N13" s="21" t="n"/>
      <c r="O13" s="28">
        <f>IF(A13="","",IF(SUMPRODUCT((Plans!$A$3:$A$300=A13)*(Plans!$B$3:$B$300=B13)*(Plans!$C$3:$C$300=C13))=0,"PLAN INCONNU","ok"))</f>
        <v/>
      </c>
    </row>
    <row r="14">
      <c r="A14" s="16" t="inlineStr">
        <is>
          <t>flex-1-step</t>
        </is>
      </c>
      <c r="B14" s="21" t="n">
        <v>25000</v>
      </c>
      <c r="C14" s="16" t="n"/>
      <c r="D14" s="16" t="inlineStr">
        <is>
          <t>funded</t>
        </is>
      </c>
      <c r="E14" s="21" t="n"/>
      <c r="F14" s="21" t="n">
        <v>3000</v>
      </c>
      <c r="G14" s="16" t="inlineStr">
        <is>
          <t>Static</t>
        </is>
      </c>
      <c r="H14" s="21" t="n">
        <v>750</v>
      </c>
      <c r="I14" s="23" t="n">
        <v>0</v>
      </c>
      <c r="J14" s="31" t="n"/>
      <c r="K14" s="23" t="n"/>
      <c r="L14" s="31" t="n">
        <v>1</v>
      </c>
      <c r="M14" s="21" t="n"/>
      <c r="N14" s="21" t="n">
        <v>250</v>
      </c>
      <c r="O14" s="28">
        <f>IF(A14="","",IF(SUMPRODUCT((Plans!$A$3:$A$300=A14)*(Plans!$B$3:$B$300=B14)*(Plans!$C$3:$C$300=C14))=0,"PLAN INCONNU","ok"))</f>
        <v/>
      </c>
      <c r="P14" t="n">
        <v>0.8</v>
      </c>
    </row>
    <row r="15">
      <c r="A15" s="16" t="inlineStr">
        <is>
          <t>flex-1-step</t>
        </is>
      </c>
      <c r="B15" s="21" t="n">
        <v>50000</v>
      </c>
      <c r="C15" s="16" t="n"/>
      <c r="D15" s="16" t="inlineStr">
        <is>
          <t>evaluation</t>
        </is>
      </c>
      <c r="E15" s="21" t="n">
        <v>6000</v>
      </c>
      <c r="F15" s="21" t="n">
        <v>6000</v>
      </c>
      <c r="G15" s="16" t="inlineStr">
        <is>
          <t>Static</t>
        </is>
      </c>
      <c r="H15" s="21" t="n">
        <v>1500</v>
      </c>
      <c r="I15" s="23" t="n">
        <v>0</v>
      </c>
      <c r="J15" s="31" t="n"/>
      <c r="K15" s="23" t="n"/>
      <c r="L15" s="31" t="n"/>
      <c r="M15" s="21" t="n"/>
      <c r="N15" s="21" t="n"/>
      <c r="O15" s="28">
        <f>IF(A15="","",IF(SUMPRODUCT((Plans!$A$3:$A$300=A15)*(Plans!$B$3:$B$300=B15)*(Plans!$C$3:$C$300=C15))=0,"PLAN INCONNU","ok"))</f>
        <v/>
      </c>
    </row>
    <row r="16">
      <c r="A16" s="16" t="inlineStr">
        <is>
          <t>flex-1-step</t>
        </is>
      </c>
      <c r="B16" s="21" t="n">
        <v>50000</v>
      </c>
      <c r="C16" s="16" t="n"/>
      <c r="D16" s="16" t="inlineStr">
        <is>
          <t>funded</t>
        </is>
      </c>
      <c r="E16" s="21" t="n"/>
      <c r="F16" s="21" t="n">
        <v>6000</v>
      </c>
      <c r="G16" s="16" t="inlineStr">
        <is>
          <t>Static</t>
        </is>
      </c>
      <c r="H16" s="21" t="n">
        <v>1500</v>
      </c>
      <c r="I16" s="23" t="n">
        <v>0</v>
      </c>
      <c r="J16" s="31" t="n"/>
      <c r="K16" s="23" t="n"/>
      <c r="L16" s="31" t="n">
        <v>1</v>
      </c>
      <c r="M16" s="21" t="n"/>
      <c r="N16" s="21" t="n">
        <v>500</v>
      </c>
      <c r="O16" s="28">
        <f>IF(A16="","",IF(SUMPRODUCT((Plans!$A$3:$A$300=A16)*(Plans!$B$3:$B$300=B16)*(Plans!$C$3:$C$300=C16))=0,"PLAN INCONNU","ok"))</f>
        <v/>
      </c>
      <c r="P16" t="n">
        <v>0.8</v>
      </c>
    </row>
    <row r="17">
      <c r="A17" s="16" t="inlineStr">
        <is>
          <t>flex-1-step</t>
        </is>
      </c>
      <c r="B17" s="21" t="n">
        <v>100000</v>
      </c>
      <c r="C17" s="16" t="n"/>
      <c r="D17" s="16" t="inlineStr">
        <is>
          <t>evaluation</t>
        </is>
      </c>
      <c r="E17" s="21" t="n">
        <v>12000</v>
      </c>
      <c r="F17" s="21" t="n">
        <v>12000</v>
      </c>
      <c r="G17" s="16" t="inlineStr">
        <is>
          <t>Static</t>
        </is>
      </c>
      <c r="H17" s="21" t="n">
        <v>3000</v>
      </c>
      <c r="I17" s="23" t="n">
        <v>0</v>
      </c>
      <c r="J17" s="31" t="n"/>
      <c r="K17" s="23" t="n"/>
      <c r="L17" s="31" t="n"/>
      <c r="M17" s="21" t="n"/>
      <c r="N17" s="21" t="n"/>
      <c r="O17" s="28">
        <f>IF(A17="","",IF(SUMPRODUCT((Plans!$A$3:$A$300=A17)*(Plans!$B$3:$B$300=B17)*(Plans!$C$3:$C$300=C17))=0,"PLAN INCONNU","ok"))</f>
        <v/>
      </c>
    </row>
    <row r="18">
      <c r="A18" s="16" t="inlineStr">
        <is>
          <t>flex-1-step</t>
        </is>
      </c>
      <c r="B18" s="21" t="n">
        <v>100000</v>
      </c>
      <c r="C18" s="16" t="n"/>
      <c r="D18" s="16" t="inlineStr">
        <is>
          <t>funded</t>
        </is>
      </c>
      <c r="E18" s="21" t="n"/>
      <c r="F18" s="21" t="n">
        <v>12000</v>
      </c>
      <c r="G18" s="16" t="inlineStr">
        <is>
          <t>Static</t>
        </is>
      </c>
      <c r="H18" s="21" t="n">
        <v>3000</v>
      </c>
      <c r="I18" s="23" t="n">
        <v>0</v>
      </c>
      <c r="J18" s="31" t="n"/>
      <c r="K18" s="23" t="n"/>
      <c r="L18" s="31" t="n">
        <v>1</v>
      </c>
      <c r="M18" s="21" t="n"/>
      <c r="N18" s="21" t="n">
        <v>1000</v>
      </c>
      <c r="O18" s="28">
        <f>IF(A18="","",IF(SUMPRODUCT((Plans!$A$3:$A$300=A18)*(Plans!$B$3:$B$300=B18)*(Plans!$C$3:$C$300=C18))=0,"PLAN INCONNU","ok"))</f>
        <v/>
      </c>
      <c r="P18" t="n">
        <v>0.8</v>
      </c>
    </row>
    <row r="19">
      <c r="A19" s="16" t="inlineStr">
        <is>
          <t>standard-2-step</t>
        </is>
      </c>
      <c r="B19" s="21" t="n">
        <v>5000</v>
      </c>
      <c r="C19" s="16" t="n"/>
      <c r="D19" s="16" t="inlineStr">
        <is>
          <t>evaluation</t>
        </is>
      </c>
      <c r="E19" s="21" t="n">
        <v>400</v>
      </c>
      <c r="F19" s="21" t="n">
        <v>500</v>
      </c>
      <c r="G19" s="16" t="inlineStr">
        <is>
          <t>Static</t>
        </is>
      </c>
      <c r="H19" s="21" t="n">
        <v>250</v>
      </c>
      <c r="I19" s="23" t="n">
        <v>3</v>
      </c>
      <c r="J19" s="31" t="n"/>
      <c r="K19" s="23" t="n"/>
      <c r="L19" s="31" t="n"/>
      <c r="M19" s="21" t="n"/>
      <c r="N19" s="21" t="n"/>
      <c r="O19" s="28">
        <f>IF(A19="","",IF(SUMPRODUCT((Plans!$A$3:$A$300=A19)*(Plans!$B$3:$B$300=B19)*(Plans!$C$3:$C$300=C19))=0,"PLAN INCONNU","ok"))</f>
        <v/>
      </c>
    </row>
    <row r="20">
      <c r="A20" s="16" t="inlineStr">
        <is>
          <t>standard-2-step</t>
        </is>
      </c>
      <c r="B20" s="21" t="n">
        <v>5000</v>
      </c>
      <c r="C20" s="16" t="n"/>
      <c r="D20" s="16" t="inlineStr">
        <is>
          <t>evaluation_2</t>
        </is>
      </c>
      <c r="E20" s="21" t="n">
        <v>250</v>
      </c>
      <c r="F20" s="21" t="n">
        <v>500</v>
      </c>
      <c r="G20" s="16" t="inlineStr">
        <is>
          <t>Static</t>
        </is>
      </c>
      <c r="H20" s="21" t="n">
        <v>250</v>
      </c>
      <c r="I20" s="23" t="n">
        <v>3</v>
      </c>
      <c r="J20" s="31" t="n"/>
      <c r="K20" s="23" t="n"/>
      <c r="L20" s="31" t="n"/>
      <c r="M20" s="21" t="n"/>
      <c r="N20" s="21" t="n"/>
      <c r="O20" s="28">
        <f>IF(A20="","",IF(SUMPRODUCT((Plans!$A$3:$A$300=A20)*(Plans!$B$3:$B$300=B20)*(Plans!$C$3:$C$300=C20))=0,"PLAN INCONNU","ok"))</f>
        <v/>
      </c>
    </row>
    <row r="21">
      <c r="A21" s="16" t="inlineStr">
        <is>
          <t>standard-2-step</t>
        </is>
      </c>
      <c r="B21" s="21" t="n">
        <v>5000</v>
      </c>
      <c r="C21" s="16" t="n"/>
      <c r="D21" s="16" t="inlineStr">
        <is>
          <t>funded</t>
        </is>
      </c>
      <c r="E21" s="21" t="n"/>
      <c r="F21" s="21" t="n">
        <v>500</v>
      </c>
      <c r="G21" s="16" t="inlineStr">
        <is>
          <t>Static</t>
        </is>
      </c>
      <c r="H21" s="21" t="n">
        <v>250</v>
      </c>
      <c r="I21" s="23" t="n">
        <v>0</v>
      </c>
      <c r="J21" s="31" t="n"/>
      <c r="K21" s="23" t="n"/>
      <c r="L21" s="31" t="n">
        <v>1</v>
      </c>
      <c r="M21" s="21" t="n"/>
      <c r="N21" s="21" t="n">
        <v>50</v>
      </c>
      <c r="O21" s="28">
        <f>IF(A21="","",IF(SUMPRODUCT((Plans!$A$3:$A$300=A21)*(Plans!$B$3:$B$300=B21)*(Plans!$C$3:$C$300=C21))=0,"PLAN INCONNU","ok"))</f>
        <v/>
      </c>
      <c r="P21" t="n">
        <v>0.6</v>
      </c>
    </row>
    <row r="22">
      <c r="A22" s="16" t="inlineStr">
        <is>
          <t>standard-2-step</t>
        </is>
      </c>
      <c r="B22" s="21" t="n">
        <v>10000</v>
      </c>
      <c r="C22" s="16" t="n"/>
      <c r="D22" s="16" t="inlineStr">
        <is>
          <t>evaluation</t>
        </is>
      </c>
      <c r="E22" s="21" t="n">
        <v>800</v>
      </c>
      <c r="F22" s="21" t="n">
        <v>1000</v>
      </c>
      <c r="G22" s="16" t="inlineStr">
        <is>
          <t>Static</t>
        </is>
      </c>
      <c r="H22" s="21" t="n">
        <v>500</v>
      </c>
      <c r="I22" s="23" t="n">
        <v>3</v>
      </c>
      <c r="J22" s="31" t="n"/>
      <c r="K22" s="23" t="n"/>
      <c r="L22" s="31" t="n"/>
      <c r="M22" s="21" t="n"/>
      <c r="N22" s="21" t="n"/>
      <c r="O22" s="28">
        <f>IF(A22="","",IF(SUMPRODUCT((Plans!$A$3:$A$300=A22)*(Plans!$B$3:$B$300=B22)*(Plans!$C$3:$C$300=C22))=0,"PLAN INCONNU","ok"))</f>
        <v/>
      </c>
    </row>
    <row r="23">
      <c r="A23" s="16" t="inlineStr">
        <is>
          <t>standard-2-step</t>
        </is>
      </c>
      <c r="B23" s="21" t="n">
        <v>10000</v>
      </c>
      <c r="C23" s="16" t="n"/>
      <c r="D23" s="16" t="inlineStr">
        <is>
          <t>evaluation_2</t>
        </is>
      </c>
      <c r="E23" s="21" t="n">
        <v>500</v>
      </c>
      <c r="F23" s="21" t="n">
        <v>1000</v>
      </c>
      <c r="G23" s="16" t="inlineStr">
        <is>
          <t>Static</t>
        </is>
      </c>
      <c r="H23" s="21" t="n">
        <v>500</v>
      </c>
      <c r="I23" s="23" t="n">
        <v>3</v>
      </c>
      <c r="J23" s="31" t="n"/>
      <c r="K23" s="23" t="n"/>
      <c r="L23" s="31" t="n"/>
      <c r="M23" s="21" t="n"/>
      <c r="N23" s="21" t="n"/>
      <c r="O23" s="28">
        <f>IF(A23="","",IF(SUMPRODUCT((Plans!$A$3:$A$300=A23)*(Plans!$B$3:$B$300=B23)*(Plans!$C$3:$C$300=C23))=0,"PLAN INCONNU","ok"))</f>
        <v/>
      </c>
    </row>
    <row r="24">
      <c r="A24" s="16" t="inlineStr">
        <is>
          <t>standard-2-step</t>
        </is>
      </c>
      <c r="B24" s="21" t="n">
        <v>10000</v>
      </c>
      <c r="C24" s="16" t="n"/>
      <c r="D24" s="16" t="inlineStr">
        <is>
          <t>funded</t>
        </is>
      </c>
      <c r="E24" s="21" t="n"/>
      <c r="F24" s="21" t="n">
        <v>1000</v>
      </c>
      <c r="G24" s="16" t="inlineStr">
        <is>
          <t>Static</t>
        </is>
      </c>
      <c r="H24" s="21" t="n">
        <v>500</v>
      </c>
      <c r="I24" s="23" t="n">
        <v>0</v>
      </c>
      <c r="J24" s="31" t="n"/>
      <c r="K24" s="23" t="n"/>
      <c r="L24" s="31" t="n">
        <v>1</v>
      </c>
      <c r="M24" s="21" t="n"/>
      <c r="N24" s="21" t="n">
        <v>100</v>
      </c>
      <c r="O24" s="28">
        <f>IF(A24="","",IF(SUMPRODUCT((Plans!$A$3:$A$300=A24)*(Plans!$B$3:$B$300=B24)*(Plans!$C$3:$C$300=C24))=0,"PLAN INCONNU","ok"))</f>
        <v/>
      </c>
      <c r="P24" t="n">
        <v>0.6</v>
      </c>
    </row>
    <row r="25">
      <c r="A25" s="16" t="inlineStr">
        <is>
          <t>standard-2-step</t>
        </is>
      </c>
      <c r="B25" s="21" t="n">
        <v>25000</v>
      </c>
      <c r="C25" s="16" t="n"/>
      <c r="D25" s="16" t="inlineStr">
        <is>
          <t>evaluation</t>
        </is>
      </c>
      <c r="E25" s="21" t="n">
        <v>2000</v>
      </c>
      <c r="F25" s="21" t="n">
        <v>2500</v>
      </c>
      <c r="G25" s="16" t="inlineStr">
        <is>
          <t>Static</t>
        </is>
      </c>
      <c r="H25" s="21" t="n">
        <v>1250</v>
      </c>
      <c r="I25" s="23" t="n">
        <v>3</v>
      </c>
      <c r="J25" s="31" t="n"/>
      <c r="K25" s="23" t="n"/>
      <c r="L25" s="31" t="n"/>
      <c r="M25" s="21" t="n"/>
      <c r="N25" s="21" t="n"/>
      <c r="O25" s="28">
        <f>IF(A25="","",IF(SUMPRODUCT((Plans!$A$3:$A$300=A25)*(Plans!$B$3:$B$300=B25)*(Plans!$C$3:$C$300=C25))=0,"PLAN INCONNU","ok"))</f>
        <v/>
      </c>
    </row>
    <row r="26">
      <c r="A26" s="16" t="inlineStr">
        <is>
          <t>standard-2-step</t>
        </is>
      </c>
      <c r="B26" s="21" t="n">
        <v>25000</v>
      </c>
      <c r="C26" s="16" t="n"/>
      <c r="D26" s="16" t="inlineStr">
        <is>
          <t>evaluation_2</t>
        </is>
      </c>
      <c r="E26" s="21" t="n">
        <v>1250</v>
      </c>
      <c r="F26" s="21" t="n">
        <v>2500</v>
      </c>
      <c r="G26" s="16" t="inlineStr">
        <is>
          <t>Static</t>
        </is>
      </c>
      <c r="H26" s="21" t="n">
        <v>1250</v>
      </c>
      <c r="I26" s="23" t="n">
        <v>3</v>
      </c>
      <c r="J26" s="31" t="n"/>
      <c r="K26" s="23" t="n"/>
      <c r="L26" s="31" t="n"/>
      <c r="M26" s="21" t="n"/>
      <c r="N26" s="21" t="n"/>
      <c r="O26" s="28">
        <f>IF(A26="","",IF(SUMPRODUCT((Plans!$A$3:$A$300=A26)*(Plans!$B$3:$B$300=B26)*(Plans!$C$3:$C$300=C26))=0,"PLAN INCONNU","ok"))</f>
        <v/>
      </c>
    </row>
    <row r="27">
      <c r="A27" s="16" t="inlineStr">
        <is>
          <t>standard-2-step</t>
        </is>
      </c>
      <c r="B27" s="21" t="n">
        <v>25000</v>
      </c>
      <c r="C27" s="16" t="n"/>
      <c r="D27" s="16" t="inlineStr">
        <is>
          <t>funded</t>
        </is>
      </c>
      <c r="E27" s="21" t="n"/>
      <c r="F27" s="21" t="n">
        <v>2500</v>
      </c>
      <c r="G27" s="16" t="inlineStr">
        <is>
          <t>Static</t>
        </is>
      </c>
      <c r="H27" s="21" t="n">
        <v>1250</v>
      </c>
      <c r="I27" s="23" t="n">
        <v>0</v>
      </c>
      <c r="J27" s="31" t="n"/>
      <c r="K27" s="23" t="n"/>
      <c r="L27" s="31" t="n">
        <v>1</v>
      </c>
      <c r="M27" s="21" t="n"/>
      <c r="N27" s="21" t="n">
        <v>250</v>
      </c>
      <c r="O27" s="28">
        <f>IF(A27="","",IF(SUMPRODUCT((Plans!$A$3:$A$300=A27)*(Plans!$B$3:$B$300=B27)*(Plans!$C$3:$C$300=C27))=0,"PLAN INCONNU","ok"))</f>
        <v/>
      </c>
      <c r="P27" t="n">
        <v>0.6</v>
      </c>
    </row>
    <row r="28">
      <c r="A28" s="16" t="inlineStr">
        <is>
          <t>standard-2-step</t>
        </is>
      </c>
      <c r="B28" s="21" t="n">
        <v>50000</v>
      </c>
      <c r="C28" s="16" t="n"/>
      <c r="D28" s="16" t="inlineStr">
        <is>
          <t>evaluation</t>
        </is>
      </c>
      <c r="E28" s="21" t="n">
        <v>4000</v>
      </c>
      <c r="F28" s="21" t="n">
        <v>5000</v>
      </c>
      <c r="G28" s="16" t="inlineStr">
        <is>
          <t>Static</t>
        </is>
      </c>
      <c r="H28" s="21" t="n">
        <v>2500</v>
      </c>
      <c r="I28" s="23" t="n">
        <v>3</v>
      </c>
      <c r="J28" s="31" t="n"/>
      <c r="K28" s="23" t="n"/>
      <c r="L28" s="31" t="n"/>
      <c r="M28" s="21" t="n"/>
      <c r="N28" s="21" t="n"/>
      <c r="O28" s="28">
        <f>IF(A28="","",IF(SUMPRODUCT((Plans!$A$3:$A$300=A28)*(Plans!$B$3:$B$300=B28)*(Plans!$C$3:$C$300=C28))=0,"PLAN INCONNU","ok"))</f>
        <v/>
      </c>
    </row>
    <row r="29">
      <c r="A29" s="16" t="inlineStr">
        <is>
          <t>standard-2-step</t>
        </is>
      </c>
      <c r="B29" s="21" t="n">
        <v>50000</v>
      </c>
      <c r="C29" s="16" t="n"/>
      <c r="D29" s="16" t="inlineStr">
        <is>
          <t>evaluation_2</t>
        </is>
      </c>
      <c r="E29" s="21" t="n">
        <v>2500</v>
      </c>
      <c r="F29" s="21" t="n">
        <v>5000</v>
      </c>
      <c r="G29" s="16" t="inlineStr">
        <is>
          <t>Static</t>
        </is>
      </c>
      <c r="H29" s="21" t="n">
        <v>2500</v>
      </c>
      <c r="I29" s="23" t="n">
        <v>3</v>
      </c>
      <c r="J29" s="31" t="n"/>
      <c r="K29" s="23" t="n"/>
      <c r="L29" s="31" t="n"/>
      <c r="M29" s="21" t="n"/>
      <c r="N29" s="21" t="n"/>
      <c r="O29" s="28">
        <f>IF(A29="","",IF(SUMPRODUCT((Plans!$A$3:$A$300=A29)*(Plans!$B$3:$B$300=B29)*(Plans!$C$3:$C$300=C29))=0,"PLAN INCONNU","ok"))</f>
        <v/>
      </c>
    </row>
    <row r="30">
      <c r="A30" s="16" t="inlineStr">
        <is>
          <t>standard-2-step</t>
        </is>
      </c>
      <c r="B30" s="21" t="n">
        <v>50000</v>
      </c>
      <c r="C30" s="16" t="n"/>
      <c r="D30" s="16" t="inlineStr">
        <is>
          <t>funded</t>
        </is>
      </c>
      <c r="E30" s="21" t="n"/>
      <c r="F30" s="21" t="n">
        <v>5000</v>
      </c>
      <c r="G30" s="16" t="inlineStr">
        <is>
          <t>Static</t>
        </is>
      </c>
      <c r="H30" s="21" t="n">
        <v>2500</v>
      </c>
      <c r="I30" s="23" t="n">
        <v>0</v>
      </c>
      <c r="J30" s="31" t="n"/>
      <c r="K30" s="23" t="n"/>
      <c r="L30" s="31" t="n">
        <v>1</v>
      </c>
      <c r="M30" s="21" t="n"/>
      <c r="N30" s="21" t="n">
        <v>500</v>
      </c>
      <c r="O30" s="28">
        <f>IF(A30="","",IF(SUMPRODUCT((Plans!$A$3:$A$300=A30)*(Plans!$B$3:$B$300=B30)*(Plans!$C$3:$C$300=C30))=0,"PLAN INCONNU","ok"))</f>
        <v/>
      </c>
      <c r="P30" t="n">
        <v>0.6</v>
      </c>
    </row>
    <row r="31">
      <c r="A31" s="16" t="inlineStr">
        <is>
          <t>standard-2-step</t>
        </is>
      </c>
      <c r="B31" s="21" t="n">
        <v>100000</v>
      </c>
      <c r="C31" s="16" t="n"/>
      <c r="D31" s="16" t="inlineStr">
        <is>
          <t>evaluation</t>
        </is>
      </c>
      <c r="E31" s="21" t="n">
        <v>8000</v>
      </c>
      <c r="F31" s="21" t="n">
        <v>10000</v>
      </c>
      <c r="G31" s="16" t="inlineStr">
        <is>
          <t>Static</t>
        </is>
      </c>
      <c r="H31" s="21" t="n">
        <v>5000</v>
      </c>
      <c r="I31" s="23" t="n">
        <v>3</v>
      </c>
      <c r="J31" s="31" t="n"/>
      <c r="K31" s="23" t="n"/>
      <c r="L31" s="31" t="n"/>
      <c r="M31" s="21" t="n"/>
      <c r="N31" s="21" t="n"/>
      <c r="O31" s="28">
        <f>IF(A31="","",IF(SUMPRODUCT((Plans!$A$3:$A$300=A31)*(Plans!$B$3:$B$300=B31)*(Plans!$C$3:$C$300=C31))=0,"PLAN INCONNU","ok"))</f>
        <v/>
      </c>
    </row>
    <row r="32">
      <c r="A32" s="16" t="inlineStr">
        <is>
          <t>standard-2-step</t>
        </is>
      </c>
      <c r="B32" s="21" t="n">
        <v>100000</v>
      </c>
      <c r="C32" s="16" t="n"/>
      <c r="D32" s="16" t="inlineStr">
        <is>
          <t>evaluation_2</t>
        </is>
      </c>
      <c r="E32" s="21" t="n">
        <v>5000</v>
      </c>
      <c r="F32" s="21" t="n">
        <v>10000</v>
      </c>
      <c r="G32" s="16" t="inlineStr">
        <is>
          <t>Static</t>
        </is>
      </c>
      <c r="H32" s="21" t="n">
        <v>5000</v>
      </c>
      <c r="I32" s="23" t="n">
        <v>3</v>
      </c>
      <c r="J32" s="31" t="n"/>
      <c r="K32" s="23" t="n"/>
      <c r="L32" s="31" t="n"/>
      <c r="M32" s="21" t="n"/>
      <c r="N32" s="21" t="n"/>
      <c r="O32" s="28">
        <f>IF(A32="","",IF(SUMPRODUCT((Plans!$A$3:$A$300=A32)*(Plans!$B$3:$B$300=B32)*(Plans!$C$3:$C$300=C32))=0,"PLAN INCONNU","ok"))</f>
        <v/>
      </c>
    </row>
    <row r="33">
      <c r="A33" s="16" t="inlineStr">
        <is>
          <t>standard-2-step</t>
        </is>
      </c>
      <c r="B33" s="21" t="n">
        <v>100000</v>
      </c>
      <c r="C33" s="16" t="n"/>
      <c r="D33" s="16" t="inlineStr">
        <is>
          <t>funded</t>
        </is>
      </c>
      <c r="E33" s="21" t="n"/>
      <c r="F33" s="21" t="n">
        <v>10000</v>
      </c>
      <c r="G33" s="16" t="inlineStr">
        <is>
          <t>Static</t>
        </is>
      </c>
      <c r="H33" s="21" t="n">
        <v>5000</v>
      </c>
      <c r="I33" s="23" t="n">
        <v>0</v>
      </c>
      <c r="J33" s="31" t="n"/>
      <c r="K33" s="23" t="n"/>
      <c r="L33" s="31" t="n">
        <v>1</v>
      </c>
      <c r="M33" s="21" t="n"/>
      <c r="N33" s="21" t="n">
        <v>1000</v>
      </c>
      <c r="O33" s="28">
        <f>IF(A33="","",IF(SUMPRODUCT((Plans!$A$3:$A$300=A33)*(Plans!$B$3:$B$300=B33)*(Plans!$C$3:$C$300=C33))=0,"PLAN INCONNU","ok"))</f>
        <v/>
      </c>
      <c r="P33" t="n">
        <v>0.6</v>
      </c>
    </row>
    <row r="34">
      <c r="A34" s="16" t="inlineStr">
        <is>
          <t>pro-2-step</t>
        </is>
      </c>
      <c r="B34" s="21" t="n">
        <v>5000</v>
      </c>
      <c r="C34" s="16" t="n"/>
      <c r="D34" s="16" t="inlineStr">
        <is>
          <t>evaluation</t>
        </is>
      </c>
      <c r="E34" s="21" t="n">
        <v>300</v>
      </c>
      <c r="F34" s="21" t="n">
        <v>300</v>
      </c>
      <c r="G34" s="16" t="inlineStr">
        <is>
          <t>Static</t>
        </is>
      </c>
      <c r="H34" s="21" t="n">
        <v>150</v>
      </c>
      <c r="I34" s="23" t="n">
        <v>0</v>
      </c>
      <c r="J34" s="31" t="n"/>
      <c r="K34" s="23" t="n"/>
      <c r="L34" s="31" t="n"/>
      <c r="M34" s="21" t="n"/>
      <c r="N34" s="21" t="n"/>
      <c r="O34" s="28">
        <f>IF(A34="","",IF(SUMPRODUCT((Plans!$A$3:$A$300=A34)*(Plans!$B$3:$B$300=B34)*(Plans!$C$3:$C$300=C34))=0,"PLAN INCONNU","ok"))</f>
        <v/>
      </c>
    </row>
    <row r="35">
      <c r="A35" s="16" t="inlineStr">
        <is>
          <t>pro-2-step</t>
        </is>
      </c>
      <c r="B35" s="21" t="n">
        <v>5000</v>
      </c>
      <c r="C35" s="16" t="n"/>
      <c r="D35" s="16" t="inlineStr">
        <is>
          <t>evaluation_2</t>
        </is>
      </c>
      <c r="E35" s="21" t="n">
        <v>300</v>
      </c>
      <c r="F35" s="21" t="n">
        <v>300</v>
      </c>
      <c r="G35" s="16" t="inlineStr">
        <is>
          <t>Static</t>
        </is>
      </c>
      <c r="H35" s="21" t="n">
        <v>150</v>
      </c>
      <c r="I35" s="23" t="n">
        <v>0</v>
      </c>
      <c r="J35" s="31" t="n"/>
      <c r="K35" s="23" t="n"/>
      <c r="L35" s="31" t="n"/>
      <c r="M35" s="21" t="n"/>
      <c r="N35" s="21" t="n"/>
      <c r="O35" s="28">
        <f>IF(A35="","",IF(SUMPRODUCT((Plans!$A$3:$A$300=A35)*(Plans!$B$3:$B$300=B35)*(Plans!$C$3:$C$300=C35))=0,"PLAN INCONNU","ok"))</f>
        <v/>
      </c>
    </row>
    <row r="36">
      <c r="A36" s="16" t="inlineStr">
        <is>
          <t>pro-2-step</t>
        </is>
      </c>
      <c r="B36" s="21" t="n">
        <v>5000</v>
      </c>
      <c r="C36" s="16" t="n"/>
      <c r="D36" s="16" t="inlineStr">
        <is>
          <t>funded</t>
        </is>
      </c>
      <c r="E36" s="21" t="n"/>
      <c r="F36" s="21" t="n">
        <v>300</v>
      </c>
      <c r="G36" s="16" t="inlineStr">
        <is>
          <t>Static</t>
        </is>
      </c>
      <c r="H36" s="21" t="n">
        <v>150</v>
      </c>
      <c r="I36" s="23" t="n">
        <v>0</v>
      </c>
      <c r="J36" s="31" t="n"/>
      <c r="K36" s="23" t="n"/>
      <c r="L36" s="31" t="n">
        <v>1</v>
      </c>
      <c r="M36" s="21" t="n"/>
      <c r="N36" s="21" t="n">
        <v>50</v>
      </c>
      <c r="O36" s="28">
        <f>IF(A36="","",IF(SUMPRODUCT((Plans!$A$3:$A$300=A36)*(Plans!$B$3:$B$300=B36)*(Plans!$C$3:$C$300=C36))=0,"PLAN INCONNU","ok"))</f>
        <v/>
      </c>
      <c r="P36" t="n">
        <v>0.8</v>
      </c>
    </row>
    <row r="37">
      <c r="A37" s="16" t="inlineStr">
        <is>
          <t>pro-2-step</t>
        </is>
      </c>
      <c r="B37" s="21" t="n">
        <v>10000</v>
      </c>
      <c r="C37" s="16" t="n"/>
      <c r="D37" s="16" t="inlineStr">
        <is>
          <t>evaluation</t>
        </is>
      </c>
      <c r="E37" s="21" t="n">
        <v>600</v>
      </c>
      <c r="F37" s="21" t="n">
        <v>600</v>
      </c>
      <c r="G37" s="16" t="inlineStr">
        <is>
          <t>Static</t>
        </is>
      </c>
      <c r="H37" s="21" t="n">
        <v>300</v>
      </c>
      <c r="I37" s="23" t="n">
        <v>0</v>
      </c>
      <c r="J37" s="31" t="n"/>
      <c r="K37" s="23" t="n"/>
      <c r="L37" s="31" t="n"/>
      <c r="M37" s="21" t="n"/>
      <c r="N37" s="21" t="n"/>
      <c r="O37" s="28">
        <f>IF(A37="","",IF(SUMPRODUCT((Plans!$A$3:$A$300=A37)*(Plans!$B$3:$B$300=B37)*(Plans!$C$3:$C$300=C37))=0,"PLAN INCONNU","ok"))</f>
        <v/>
      </c>
    </row>
    <row r="38">
      <c r="A38" s="16" t="inlineStr">
        <is>
          <t>pro-2-step</t>
        </is>
      </c>
      <c r="B38" s="21" t="n">
        <v>10000</v>
      </c>
      <c r="C38" s="16" t="n"/>
      <c r="D38" s="16" t="inlineStr">
        <is>
          <t>evaluation_2</t>
        </is>
      </c>
      <c r="E38" s="21" t="n">
        <v>600</v>
      </c>
      <c r="F38" s="21" t="n">
        <v>600</v>
      </c>
      <c r="G38" s="16" t="inlineStr">
        <is>
          <t>Static</t>
        </is>
      </c>
      <c r="H38" s="21" t="n">
        <v>300</v>
      </c>
      <c r="I38" s="23" t="n">
        <v>0</v>
      </c>
      <c r="J38" s="31" t="n"/>
      <c r="K38" s="23" t="n"/>
      <c r="L38" s="31" t="n"/>
      <c r="M38" s="21" t="n"/>
      <c r="N38" s="21" t="n"/>
      <c r="O38" s="28">
        <f>IF(A38="","",IF(SUMPRODUCT((Plans!$A$3:$A$300=A38)*(Plans!$B$3:$B$300=B38)*(Plans!$C$3:$C$300=C38))=0,"PLAN INCONNU","ok"))</f>
        <v/>
      </c>
    </row>
    <row r="39">
      <c r="A39" s="16" t="inlineStr">
        <is>
          <t>pro-2-step</t>
        </is>
      </c>
      <c r="B39" s="21" t="n">
        <v>10000</v>
      </c>
      <c r="C39" s="16" t="n"/>
      <c r="D39" s="16" t="inlineStr">
        <is>
          <t>funded</t>
        </is>
      </c>
      <c r="E39" s="21" t="n"/>
      <c r="F39" s="21" t="n">
        <v>600</v>
      </c>
      <c r="G39" s="16" t="inlineStr">
        <is>
          <t>Static</t>
        </is>
      </c>
      <c r="H39" s="21" t="n">
        <v>300</v>
      </c>
      <c r="I39" s="23" t="n">
        <v>0</v>
      </c>
      <c r="J39" s="31" t="n"/>
      <c r="K39" s="23" t="n"/>
      <c r="L39" s="31" t="n">
        <v>1</v>
      </c>
      <c r="M39" s="21" t="n"/>
      <c r="N39" s="21" t="n">
        <v>100</v>
      </c>
      <c r="O39" s="28">
        <f>IF(A39="","",IF(SUMPRODUCT((Plans!$A$3:$A$300=A39)*(Plans!$B$3:$B$300=B39)*(Plans!$C$3:$C$300=C39))=0,"PLAN INCONNU","ok"))</f>
        <v/>
      </c>
      <c r="P39" t="n">
        <v>0.8</v>
      </c>
    </row>
    <row r="40">
      <c r="A40" s="16" t="inlineStr">
        <is>
          <t>pro-2-step</t>
        </is>
      </c>
      <c r="B40" s="21" t="n">
        <v>25000</v>
      </c>
      <c r="C40" s="16" t="n"/>
      <c r="D40" s="16" t="inlineStr">
        <is>
          <t>evaluation</t>
        </is>
      </c>
      <c r="E40" s="21" t="n">
        <v>1500</v>
      </c>
      <c r="F40" s="21" t="n">
        <v>1500</v>
      </c>
      <c r="G40" s="16" t="inlineStr">
        <is>
          <t>Static</t>
        </is>
      </c>
      <c r="H40" s="21" t="n">
        <v>750</v>
      </c>
      <c r="I40" s="23" t="n">
        <v>0</v>
      </c>
      <c r="J40" s="31" t="n"/>
      <c r="K40" s="23" t="n"/>
      <c r="L40" s="31" t="n"/>
      <c r="M40" s="21" t="n"/>
      <c r="N40" s="21" t="n"/>
      <c r="O40" s="28">
        <f>IF(A40="","",IF(SUMPRODUCT((Plans!$A$3:$A$300=A40)*(Plans!$B$3:$B$300=B40)*(Plans!$C$3:$C$300=C40))=0,"PLAN INCONNU","ok"))</f>
        <v/>
      </c>
    </row>
    <row r="41">
      <c r="A41" s="16" t="inlineStr">
        <is>
          <t>pro-2-step</t>
        </is>
      </c>
      <c r="B41" s="21" t="n">
        <v>25000</v>
      </c>
      <c r="C41" s="16" t="n"/>
      <c r="D41" s="16" t="inlineStr">
        <is>
          <t>evaluation_2</t>
        </is>
      </c>
      <c r="E41" s="21" t="n">
        <v>1500</v>
      </c>
      <c r="F41" s="21" t="n">
        <v>1500</v>
      </c>
      <c r="G41" s="16" t="inlineStr">
        <is>
          <t>Static</t>
        </is>
      </c>
      <c r="H41" s="21" t="n">
        <v>750</v>
      </c>
      <c r="I41" s="23" t="n">
        <v>0</v>
      </c>
      <c r="J41" s="31" t="n"/>
      <c r="K41" s="23" t="n"/>
      <c r="L41" s="31" t="n"/>
      <c r="M41" s="21" t="n"/>
      <c r="N41" s="21" t="n"/>
      <c r="O41" s="28">
        <f>IF(A41="","",IF(SUMPRODUCT((Plans!$A$3:$A$300=A41)*(Plans!$B$3:$B$300=B41)*(Plans!$C$3:$C$300=C41))=0,"PLAN INCONNU","ok"))</f>
        <v/>
      </c>
    </row>
    <row r="42">
      <c r="A42" s="16" t="inlineStr">
        <is>
          <t>pro-2-step</t>
        </is>
      </c>
      <c r="B42" s="21" t="n">
        <v>25000</v>
      </c>
      <c r="C42" s="16" t="n"/>
      <c r="D42" s="16" t="inlineStr">
        <is>
          <t>funded</t>
        </is>
      </c>
      <c r="E42" s="21" t="n"/>
      <c r="F42" s="21" t="n">
        <v>1500</v>
      </c>
      <c r="G42" s="16" t="inlineStr">
        <is>
          <t>Static</t>
        </is>
      </c>
      <c r="H42" s="21" t="n">
        <v>750</v>
      </c>
      <c r="I42" s="23" t="n">
        <v>0</v>
      </c>
      <c r="J42" s="31" t="n"/>
      <c r="K42" s="23" t="n"/>
      <c r="L42" s="31" t="n">
        <v>1</v>
      </c>
      <c r="M42" s="21" t="n"/>
      <c r="N42" s="21" t="n">
        <v>250</v>
      </c>
      <c r="O42" s="28">
        <f>IF(A42="","",IF(SUMPRODUCT((Plans!$A$3:$A$300=A42)*(Plans!$B$3:$B$300=B42)*(Plans!$C$3:$C$300=C42))=0,"PLAN INCONNU","ok"))</f>
        <v/>
      </c>
      <c r="P42" t="n">
        <v>0.8</v>
      </c>
    </row>
    <row r="43">
      <c r="A43" s="16" t="inlineStr">
        <is>
          <t>pro-2-step</t>
        </is>
      </c>
      <c r="B43" s="21" t="n">
        <v>50000</v>
      </c>
      <c r="C43" s="16" t="n"/>
      <c r="D43" s="16" t="inlineStr">
        <is>
          <t>evaluation</t>
        </is>
      </c>
      <c r="E43" s="21" t="n">
        <v>3000</v>
      </c>
      <c r="F43" s="21" t="n">
        <v>3000</v>
      </c>
      <c r="G43" s="16" t="inlineStr">
        <is>
          <t>Static</t>
        </is>
      </c>
      <c r="H43" s="21" t="n">
        <v>1500</v>
      </c>
      <c r="I43" s="23" t="n">
        <v>0</v>
      </c>
      <c r="J43" s="31" t="n"/>
      <c r="K43" s="23" t="n"/>
      <c r="L43" s="31" t="n"/>
      <c r="M43" s="21" t="n"/>
      <c r="N43" s="21" t="n"/>
      <c r="O43" s="28">
        <f>IF(A43="","",IF(SUMPRODUCT((Plans!$A$3:$A$300=A43)*(Plans!$B$3:$B$300=B43)*(Plans!$C$3:$C$300=C43))=0,"PLAN INCONNU","ok"))</f>
        <v/>
      </c>
    </row>
    <row r="44">
      <c r="A44" s="16" t="inlineStr">
        <is>
          <t>pro-2-step</t>
        </is>
      </c>
      <c r="B44" s="21" t="n">
        <v>50000</v>
      </c>
      <c r="C44" s="16" t="n"/>
      <c r="D44" s="16" t="inlineStr">
        <is>
          <t>evaluation_2</t>
        </is>
      </c>
      <c r="E44" s="21" t="n">
        <v>3000</v>
      </c>
      <c r="F44" s="21" t="n">
        <v>3000</v>
      </c>
      <c r="G44" s="16" t="inlineStr">
        <is>
          <t>Static</t>
        </is>
      </c>
      <c r="H44" s="21" t="n">
        <v>1500</v>
      </c>
      <c r="I44" s="23" t="n">
        <v>0</v>
      </c>
      <c r="J44" s="31" t="n"/>
      <c r="K44" s="23" t="n"/>
      <c r="L44" s="31" t="n"/>
      <c r="M44" s="21" t="n"/>
      <c r="N44" s="21" t="n"/>
      <c r="O44" s="28">
        <f>IF(A44="","",IF(SUMPRODUCT((Plans!$A$3:$A$300=A44)*(Plans!$B$3:$B$300=B44)*(Plans!$C$3:$C$300=C44))=0,"PLAN INCONNU","ok"))</f>
        <v/>
      </c>
    </row>
    <row r="45">
      <c r="A45" s="16" t="inlineStr">
        <is>
          <t>pro-2-step</t>
        </is>
      </c>
      <c r="B45" s="21" t="n">
        <v>50000</v>
      </c>
      <c r="C45" s="16" t="n"/>
      <c r="D45" s="16" t="inlineStr">
        <is>
          <t>funded</t>
        </is>
      </c>
      <c r="E45" s="21" t="n"/>
      <c r="F45" s="21" t="n">
        <v>3000</v>
      </c>
      <c r="G45" s="16" t="inlineStr">
        <is>
          <t>Static</t>
        </is>
      </c>
      <c r="H45" s="21" t="n">
        <v>1500</v>
      </c>
      <c r="I45" s="23" t="n">
        <v>0</v>
      </c>
      <c r="J45" s="31" t="n"/>
      <c r="K45" s="23" t="n"/>
      <c r="L45" s="31" t="n">
        <v>1</v>
      </c>
      <c r="M45" s="21" t="n"/>
      <c r="N45" s="21" t="n">
        <v>500</v>
      </c>
      <c r="O45" s="28">
        <f>IF(A45="","",IF(SUMPRODUCT((Plans!$A$3:$A$300=A45)*(Plans!$B$3:$B$300=B45)*(Plans!$C$3:$C$300=C45))=0,"PLAN INCONNU","ok"))</f>
        <v/>
      </c>
      <c r="P45" t="n">
        <v>0.8</v>
      </c>
    </row>
    <row r="46">
      <c r="A46" s="16" t="inlineStr">
        <is>
          <t>pro-2-step</t>
        </is>
      </c>
      <c r="B46" s="21" t="n">
        <v>100000</v>
      </c>
      <c r="C46" s="16" t="n"/>
      <c r="D46" s="16" t="inlineStr">
        <is>
          <t>evaluation</t>
        </is>
      </c>
      <c r="E46" s="21" t="n">
        <v>6000</v>
      </c>
      <c r="F46" s="21" t="n">
        <v>6000</v>
      </c>
      <c r="G46" s="16" t="inlineStr">
        <is>
          <t>Static</t>
        </is>
      </c>
      <c r="H46" s="21" t="n">
        <v>3000</v>
      </c>
      <c r="I46" s="23" t="n">
        <v>0</v>
      </c>
      <c r="J46" s="31" t="n"/>
      <c r="K46" s="23" t="n"/>
      <c r="L46" s="31" t="n"/>
      <c r="M46" s="21" t="n"/>
      <c r="N46" s="21" t="n"/>
      <c r="O46" s="28">
        <f>IF(A46="","",IF(SUMPRODUCT((Plans!$A$3:$A$300=A46)*(Plans!$B$3:$B$300=B46)*(Plans!$C$3:$C$300=C46))=0,"PLAN INCONNU","ok"))</f>
        <v/>
      </c>
    </row>
    <row r="47">
      <c r="A47" s="16" t="inlineStr">
        <is>
          <t>pro-2-step</t>
        </is>
      </c>
      <c r="B47" s="21" t="n">
        <v>100000</v>
      </c>
      <c r="C47" s="16" t="n"/>
      <c r="D47" s="16" t="inlineStr">
        <is>
          <t>evaluation_2</t>
        </is>
      </c>
      <c r="E47" s="21" t="n">
        <v>6000</v>
      </c>
      <c r="F47" s="21" t="n">
        <v>6000</v>
      </c>
      <c r="G47" s="16" t="inlineStr">
        <is>
          <t>Static</t>
        </is>
      </c>
      <c r="H47" s="21" t="n">
        <v>3000</v>
      </c>
      <c r="I47" s="23" t="n">
        <v>0</v>
      </c>
      <c r="J47" s="31" t="n"/>
      <c r="K47" s="23" t="n"/>
      <c r="L47" s="31" t="n"/>
      <c r="M47" s="21" t="n"/>
      <c r="N47" s="21" t="n"/>
      <c r="O47" s="28">
        <f>IF(A47="","",IF(SUMPRODUCT((Plans!$A$3:$A$300=A47)*(Plans!$B$3:$B$300=B47)*(Plans!$C$3:$C$300=C47))=0,"PLAN INCONNU","ok"))</f>
        <v/>
      </c>
    </row>
    <row r="48">
      <c r="A48" s="16" t="inlineStr">
        <is>
          <t>pro-2-step</t>
        </is>
      </c>
      <c r="B48" s="21" t="n">
        <v>100000</v>
      </c>
      <c r="C48" s="16" t="n"/>
      <c r="D48" s="16" t="inlineStr">
        <is>
          <t>funded</t>
        </is>
      </c>
      <c r="E48" s="21" t="n"/>
      <c r="F48" s="21" t="n">
        <v>6000</v>
      </c>
      <c r="G48" s="16" t="inlineStr">
        <is>
          <t>Static</t>
        </is>
      </c>
      <c r="H48" s="21" t="n">
        <v>3000</v>
      </c>
      <c r="I48" s="23" t="n">
        <v>0</v>
      </c>
      <c r="J48" s="31" t="n"/>
      <c r="K48" s="23" t="n"/>
      <c r="L48" s="31" t="n">
        <v>1</v>
      </c>
      <c r="M48" s="21" t="n"/>
      <c r="N48" s="21" t="n">
        <v>1000</v>
      </c>
      <c r="O48" s="28">
        <f>IF(A48="","",IF(SUMPRODUCT((Plans!$A$3:$A$300=A48)*(Plans!$B$3:$B$300=B48)*(Plans!$C$3:$C$300=C48))=0,"PLAN INCONNU","ok"))</f>
        <v/>
      </c>
      <c r="P48" t="n">
        <v>0.8</v>
      </c>
    </row>
    <row r="49">
      <c r="A49" s="16" t="inlineStr">
        <is>
          <t>pro-2-step</t>
        </is>
      </c>
      <c r="B49" s="21" t="n">
        <v>200000</v>
      </c>
      <c r="C49" s="16" t="n"/>
      <c r="D49" s="16" t="inlineStr">
        <is>
          <t>evaluation</t>
        </is>
      </c>
      <c r="E49" s="21" t="n">
        <v>12000</v>
      </c>
      <c r="F49" s="21" t="n">
        <v>12000</v>
      </c>
      <c r="G49" s="16" t="inlineStr">
        <is>
          <t>Static</t>
        </is>
      </c>
      <c r="H49" s="21" t="n">
        <v>6000</v>
      </c>
      <c r="I49" s="23" t="n">
        <v>0</v>
      </c>
      <c r="J49" s="31" t="n"/>
      <c r="K49" s="23" t="n"/>
      <c r="L49" s="31" t="n"/>
      <c r="M49" s="21" t="n"/>
      <c r="N49" s="21" t="n"/>
      <c r="O49" s="28">
        <f>IF(A49="","",IF(SUMPRODUCT((Plans!$A$3:$A$300=A49)*(Plans!$B$3:$B$300=B49)*(Plans!$C$3:$C$300=C49))=0,"PLAN INCONNU","ok"))</f>
        <v/>
      </c>
    </row>
    <row r="50">
      <c r="A50" s="16" t="inlineStr">
        <is>
          <t>pro-2-step</t>
        </is>
      </c>
      <c r="B50" s="21" t="n">
        <v>200000</v>
      </c>
      <c r="C50" s="16" t="n"/>
      <c r="D50" s="16" t="inlineStr">
        <is>
          <t>evaluation_2</t>
        </is>
      </c>
      <c r="E50" s="21" t="n">
        <v>12000</v>
      </c>
      <c r="F50" s="21" t="n">
        <v>12000</v>
      </c>
      <c r="G50" s="16" t="inlineStr">
        <is>
          <t>Static</t>
        </is>
      </c>
      <c r="H50" s="21" t="n">
        <v>6000</v>
      </c>
      <c r="I50" s="23" t="n">
        <v>0</v>
      </c>
      <c r="J50" s="31" t="n"/>
      <c r="K50" s="23" t="n"/>
      <c r="L50" s="31" t="n"/>
      <c r="M50" s="21" t="n"/>
      <c r="N50" s="21" t="n"/>
      <c r="O50" s="28">
        <f>IF(A50="","",IF(SUMPRODUCT((Plans!$A$3:$A$300=A50)*(Plans!$B$3:$B$300=B50)*(Plans!$C$3:$C$300=C50))=0,"PLAN INCONNU","ok"))</f>
        <v/>
      </c>
    </row>
    <row r="51">
      <c r="A51" s="16" t="inlineStr">
        <is>
          <t>pro-2-step</t>
        </is>
      </c>
      <c r="B51" s="21" t="n">
        <v>200000</v>
      </c>
      <c r="C51" s="16" t="n"/>
      <c r="D51" s="16" t="inlineStr">
        <is>
          <t>funded</t>
        </is>
      </c>
      <c r="E51" s="21" t="n"/>
      <c r="F51" s="21" t="n">
        <v>12000</v>
      </c>
      <c r="G51" s="16" t="inlineStr">
        <is>
          <t>Static</t>
        </is>
      </c>
      <c r="H51" s="21" t="n">
        <v>6000</v>
      </c>
      <c r="I51" s="23" t="n">
        <v>0</v>
      </c>
      <c r="J51" s="31" t="n"/>
      <c r="K51" s="23" t="n"/>
      <c r="L51" s="31" t="n">
        <v>1</v>
      </c>
      <c r="M51" s="21" t="n"/>
      <c r="N51" s="21" t="n">
        <v>2000</v>
      </c>
      <c r="O51" s="28">
        <f>IF(A51="","",IF(SUMPRODUCT((Plans!$A$3:$A$300=A51)*(Plans!$B$3:$B$300=B51)*(Plans!$C$3:$C$300=C51))=0,"PLAN INCONNU","ok"))</f>
        <v/>
      </c>
      <c r="P51" t="n">
        <v>0.8</v>
      </c>
    </row>
    <row r="52">
      <c r="A52" s="16" t="inlineStr">
        <is>
          <t>flex-2-step</t>
        </is>
      </c>
      <c r="B52" s="21" t="n">
        <v>5000</v>
      </c>
      <c r="C52" s="16" t="n"/>
      <c r="D52" s="16" t="inlineStr">
        <is>
          <t>evaluation</t>
        </is>
      </c>
      <c r="E52" s="21" t="n">
        <v>500</v>
      </c>
      <c r="F52" s="21" t="n">
        <v>600</v>
      </c>
      <c r="G52" s="16" t="inlineStr">
        <is>
          <t>Static</t>
        </is>
      </c>
      <c r="H52" s="21" t="n">
        <v>200</v>
      </c>
      <c r="I52" s="23" t="n">
        <v>1</v>
      </c>
      <c r="J52" s="31" t="n"/>
      <c r="K52" s="23" t="n"/>
      <c r="L52" s="31" t="n"/>
      <c r="M52" s="21" t="n"/>
      <c r="N52" s="21" t="n"/>
      <c r="O52" s="28">
        <f>IF(A52="","",IF(SUMPRODUCT((Plans!$A$3:$A$300=A52)*(Plans!$B$3:$B$300=B52)*(Plans!$C$3:$C$300=C52))=0,"PLAN INCONNU","ok"))</f>
        <v/>
      </c>
    </row>
    <row r="53">
      <c r="A53" s="16" t="inlineStr">
        <is>
          <t>flex-2-step</t>
        </is>
      </c>
      <c r="B53" s="21" t="n">
        <v>5000</v>
      </c>
      <c r="C53" s="16" t="n"/>
      <c r="D53" s="16" t="inlineStr">
        <is>
          <t>evaluation_2</t>
        </is>
      </c>
      <c r="E53" s="21" t="n">
        <v>400</v>
      </c>
      <c r="F53" s="21" t="n">
        <v>600</v>
      </c>
      <c r="G53" s="16" t="inlineStr">
        <is>
          <t>Static</t>
        </is>
      </c>
      <c r="H53" s="21" t="n">
        <v>200</v>
      </c>
      <c r="I53" s="23" t="n">
        <v>1</v>
      </c>
      <c r="J53" s="31" t="n"/>
      <c r="K53" s="23" t="n"/>
      <c r="L53" s="31" t="n"/>
      <c r="M53" s="21" t="n"/>
      <c r="N53" s="21" t="n"/>
      <c r="O53" s="28">
        <f>IF(A53="","",IF(SUMPRODUCT((Plans!$A$3:$A$300=A53)*(Plans!$B$3:$B$300=B53)*(Plans!$C$3:$C$300=C53))=0,"PLAN INCONNU","ok"))</f>
        <v/>
      </c>
    </row>
    <row r="54">
      <c r="A54" s="16" t="inlineStr">
        <is>
          <t>flex-2-step</t>
        </is>
      </c>
      <c r="B54" s="21" t="n">
        <v>5000</v>
      </c>
      <c r="C54" s="16" t="n"/>
      <c r="D54" s="16" t="inlineStr">
        <is>
          <t>funded</t>
        </is>
      </c>
      <c r="E54" s="21" t="n"/>
      <c r="F54" s="21" t="n">
        <v>600</v>
      </c>
      <c r="G54" s="16" t="inlineStr">
        <is>
          <t>Static</t>
        </is>
      </c>
      <c r="H54" s="21" t="n">
        <v>200</v>
      </c>
      <c r="I54" s="23" t="n">
        <v>0</v>
      </c>
      <c r="J54" s="31" t="n"/>
      <c r="K54" s="23" t="n"/>
      <c r="L54" s="31" t="n">
        <v>1</v>
      </c>
      <c r="M54" s="21" t="n"/>
      <c r="N54" s="21" t="n">
        <v>50</v>
      </c>
      <c r="O54" s="28">
        <f>IF(A54="","",IF(SUMPRODUCT((Plans!$A$3:$A$300=A54)*(Plans!$B$3:$B$300=B54)*(Plans!$C$3:$C$300=C54))=0,"PLAN INCONNU","ok"))</f>
        <v/>
      </c>
      <c r="P54" t="n">
        <v>0.8</v>
      </c>
    </row>
    <row r="55">
      <c r="A55" s="16" t="inlineStr">
        <is>
          <t>flex-2-step</t>
        </is>
      </c>
      <c r="B55" s="21" t="n">
        <v>10000</v>
      </c>
      <c r="C55" s="16" t="n"/>
      <c r="D55" s="16" t="inlineStr">
        <is>
          <t>evaluation</t>
        </is>
      </c>
      <c r="E55" s="21" t="n">
        <v>1000</v>
      </c>
      <c r="F55" s="21" t="n">
        <v>1200</v>
      </c>
      <c r="G55" s="16" t="inlineStr">
        <is>
          <t>Static</t>
        </is>
      </c>
      <c r="H55" s="21" t="n">
        <v>400</v>
      </c>
      <c r="I55" s="23" t="n">
        <v>1</v>
      </c>
      <c r="J55" s="31" t="n"/>
      <c r="K55" s="23" t="n"/>
      <c r="L55" s="31" t="n"/>
      <c r="M55" s="21" t="n"/>
      <c r="N55" s="21" t="n"/>
      <c r="O55" s="28">
        <f>IF(A55="","",IF(SUMPRODUCT((Plans!$A$3:$A$300=A55)*(Plans!$B$3:$B$300=B55)*(Plans!$C$3:$C$300=C55))=0,"PLAN INCONNU","ok"))</f>
        <v/>
      </c>
    </row>
    <row r="56">
      <c r="A56" s="16" t="inlineStr">
        <is>
          <t>flex-2-step</t>
        </is>
      </c>
      <c r="B56" s="21" t="n">
        <v>10000</v>
      </c>
      <c r="C56" s="16" t="n"/>
      <c r="D56" s="16" t="inlineStr">
        <is>
          <t>evaluation_2</t>
        </is>
      </c>
      <c r="E56" s="21" t="n">
        <v>800</v>
      </c>
      <c r="F56" s="21" t="n">
        <v>1200</v>
      </c>
      <c r="G56" s="16" t="inlineStr">
        <is>
          <t>Static</t>
        </is>
      </c>
      <c r="H56" s="21" t="n">
        <v>400</v>
      </c>
      <c r="I56" s="23" t="n">
        <v>1</v>
      </c>
      <c r="J56" s="31" t="n"/>
      <c r="K56" s="23" t="n"/>
      <c r="L56" s="31" t="n"/>
      <c r="M56" s="21" t="n"/>
      <c r="N56" s="21" t="n"/>
      <c r="O56" s="28">
        <f>IF(A56="","",IF(SUMPRODUCT((Plans!$A$3:$A$300=A56)*(Plans!$B$3:$B$300=B56)*(Plans!$C$3:$C$300=C56))=0,"PLAN INCONNU","ok"))</f>
        <v/>
      </c>
    </row>
    <row r="57">
      <c r="A57" s="16" t="inlineStr">
        <is>
          <t>flex-2-step</t>
        </is>
      </c>
      <c r="B57" s="21" t="n">
        <v>10000</v>
      </c>
      <c r="C57" s="16" t="n"/>
      <c r="D57" s="16" t="inlineStr">
        <is>
          <t>funded</t>
        </is>
      </c>
      <c r="E57" s="21" t="n"/>
      <c r="F57" s="21" t="n">
        <v>1200</v>
      </c>
      <c r="G57" s="16" t="inlineStr">
        <is>
          <t>Static</t>
        </is>
      </c>
      <c r="H57" s="21" t="n">
        <v>400</v>
      </c>
      <c r="I57" s="23" t="n">
        <v>0</v>
      </c>
      <c r="J57" s="31" t="n"/>
      <c r="K57" s="23" t="n"/>
      <c r="L57" s="31" t="n">
        <v>1</v>
      </c>
      <c r="M57" s="21" t="n"/>
      <c r="N57" s="21" t="n">
        <v>100</v>
      </c>
      <c r="O57" s="28">
        <f>IF(A57="","",IF(SUMPRODUCT((Plans!$A$3:$A$300=A57)*(Plans!$B$3:$B$300=B57)*(Plans!$C$3:$C$300=C57))=0,"PLAN INCONNU","ok"))</f>
        <v/>
      </c>
      <c r="P57" t="n">
        <v>0.8</v>
      </c>
    </row>
    <row r="58">
      <c r="A58" s="16" t="inlineStr">
        <is>
          <t>flex-2-step</t>
        </is>
      </c>
      <c r="B58" s="21" t="n">
        <v>25000</v>
      </c>
      <c r="C58" s="16" t="n"/>
      <c r="D58" s="16" t="inlineStr">
        <is>
          <t>evaluation</t>
        </is>
      </c>
      <c r="E58" s="21" t="n">
        <v>2500</v>
      </c>
      <c r="F58" s="21" t="n">
        <v>3000</v>
      </c>
      <c r="G58" s="16" t="inlineStr">
        <is>
          <t>Static</t>
        </is>
      </c>
      <c r="H58" s="21" t="n">
        <v>1000</v>
      </c>
      <c r="I58" s="23" t="n">
        <v>1</v>
      </c>
      <c r="J58" s="31" t="n"/>
      <c r="K58" s="23" t="n"/>
      <c r="L58" s="31" t="n"/>
      <c r="M58" s="21" t="n"/>
      <c r="N58" s="21" t="n"/>
      <c r="O58" s="28">
        <f>IF(A58="","",IF(SUMPRODUCT((Plans!$A$3:$A$300=A58)*(Plans!$B$3:$B$300=B58)*(Plans!$C$3:$C$300=C58))=0,"PLAN INCONNU","ok"))</f>
        <v/>
      </c>
    </row>
    <row r="59">
      <c r="A59" s="16" t="inlineStr">
        <is>
          <t>flex-2-step</t>
        </is>
      </c>
      <c r="B59" s="21" t="n">
        <v>25000</v>
      </c>
      <c r="C59" s="16" t="n"/>
      <c r="D59" s="16" t="inlineStr">
        <is>
          <t>evaluation_2</t>
        </is>
      </c>
      <c r="E59" s="21" t="n">
        <v>2000</v>
      </c>
      <c r="F59" s="21" t="n">
        <v>3000</v>
      </c>
      <c r="G59" s="16" t="inlineStr">
        <is>
          <t>Static</t>
        </is>
      </c>
      <c r="H59" s="21" t="n">
        <v>1000</v>
      </c>
      <c r="I59" s="23" t="n">
        <v>1</v>
      </c>
      <c r="J59" s="31" t="n"/>
      <c r="K59" s="23" t="n"/>
      <c r="L59" s="31" t="n"/>
      <c r="M59" s="21" t="n"/>
      <c r="N59" s="21" t="n"/>
      <c r="O59" s="28">
        <f>IF(A59="","",IF(SUMPRODUCT((Plans!$A$3:$A$300=A59)*(Plans!$B$3:$B$300=B59)*(Plans!$C$3:$C$300=C59))=0,"PLAN INCONNU","ok"))</f>
        <v/>
      </c>
    </row>
    <row r="60">
      <c r="A60" s="16" t="inlineStr">
        <is>
          <t>flex-2-step</t>
        </is>
      </c>
      <c r="B60" s="21" t="n">
        <v>25000</v>
      </c>
      <c r="C60" s="16" t="n"/>
      <c r="D60" s="16" t="inlineStr">
        <is>
          <t>funded</t>
        </is>
      </c>
      <c r="E60" s="21" t="n"/>
      <c r="F60" s="21" t="n">
        <v>3000</v>
      </c>
      <c r="G60" s="16" t="inlineStr">
        <is>
          <t>Static</t>
        </is>
      </c>
      <c r="H60" s="21" t="n">
        <v>1000</v>
      </c>
      <c r="I60" s="23" t="n">
        <v>0</v>
      </c>
      <c r="J60" s="31" t="n"/>
      <c r="K60" s="23" t="n"/>
      <c r="L60" s="31" t="n">
        <v>1</v>
      </c>
      <c r="M60" s="21" t="n"/>
      <c r="N60" s="21" t="n">
        <v>250</v>
      </c>
      <c r="O60" s="28">
        <f>IF(A60="","",IF(SUMPRODUCT((Plans!$A$3:$A$300=A60)*(Plans!$B$3:$B$300=B60)*(Plans!$C$3:$C$300=C60))=0,"PLAN INCONNU","ok"))</f>
        <v/>
      </c>
      <c r="P60" t="n">
        <v>0.8</v>
      </c>
    </row>
    <row r="61">
      <c r="A61" s="16" t="inlineStr">
        <is>
          <t>flex-2-step</t>
        </is>
      </c>
      <c r="B61" s="21" t="n">
        <v>50000</v>
      </c>
      <c r="C61" s="16" t="n"/>
      <c r="D61" s="16" t="inlineStr">
        <is>
          <t>evaluation</t>
        </is>
      </c>
      <c r="E61" s="21" t="n">
        <v>5000</v>
      </c>
      <c r="F61" s="21" t="n">
        <v>6000</v>
      </c>
      <c r="G61" s="16" t="inlineStr">
        <is>
          <t>Static</t>
        </is>
      </c>
      <c r="H61" s="21" t="n">
        <v>2000</v>
      </c>
      <c r="I61" s="23" t="n">
        <v>1</v>
      </c>
      <c r="J61" s="31" t="n"/>
      <c r="K61" s="23" t="n"/>
      <c r="L61" s="31" t="n"/>
      <c r="M61" s="21" t="n"/>
      <c r="N61" s="21" t="n"/>
      <c r="O61" s="28">
        <f>IF(A61="","",IF(SUMPRODUCT((Plans!$A$3:$A$300=A61)*(Plans!$B$3:$B$300=B61)*(Plans!$C$3:$C$300=C61))=0,"PLAN INCONNU","ok"))</f>
        <v/>
      </c>
    </row>
    <row r="62">
      <c r="A62" s="16" t="inlineStr">
        <is>
          <t>flex-2-step</t>
        </is>
      </c>
      <c r="B62" s="21" t="n">
        <v>50000</v>
      </c>
      <c r="C62" s="16" t="n"/>
      <c r="D62" s="16" t="inlineStr">
        <is>
          <t>evaluation_2</t>
        </is>
      </c>
      <c r="E62" s="21" t="n">
        <v>4000</v>
      </c>
      <c r="F62" s="21" t="n">
        <v>6000</v>
      </c>
      <c r="G62" s="16" t="inlineStr">
        <is>
          <t>Static</t>
        </is>
      </c>
      <c r="H62" s="21" t="n">
        <v>2000</v>
      </c>
      <c r="I62" s="23" t="n">
        <v>1</v>
      </c>
      <c r="J62" s="31" t="n"/>
      <c r="K62" s="23" t="n"/>
      <c r="L62" s="31" t="n"/>
      <c r="M62" s="21" t="n"/>
      <c r="N62" s="21" t="n"/>
      <c r="O62" s="28">
        <f>IF(A62="","",IF(SUMPRODUCT((Plans!$A$3:$A$300=A62)*(Plans!$B$3:$B$300=B62)*(Plans!$C$3:$C$300=C62))=0,"PLAN INCONNU","ok"))</f>
        <v/>
      </c>
    </row>
    <row r="63">
      <c r="A63" s="16" t="inlineStr">
        <is>
          <t>flex-2-step</t>
        </is>
      </c>
      <c r="B63" s="21" t="n">
        <v>50000</v>
      </c>
      <c r="C63" s="16" t="n"/>
      <c r="D63" s="16" t="inlineStr">
        <is>
          <t>funded</t>
        </is>
      </c>
      <c r="E63" s="21" t="n"/>
      <c r="F63" s="21" t="n">
        <v>6000</v>
      </c>
      <c r="G63" s="16" t="inlineStr">
        <is>
          <t>Static</t>
        </is>
      </c>
      <c r="H63" s="21" t="n">
        <v>2000</v>
      </c>
      <c r="I63" s="23" t="n">
        <v>0</v>
      </c>
      <c r="J63" s="31" t="n"/>
      <c r="K63" s="23" t="n"/>
      <c r="L63" s="31" t="n">
        <v>1</v>
      </c>
      <c r="M63" s="21" t="n"/>
      <c r="N63" s="21" t="n">
        <v>500</v>
      </c>
      <c r="O63" s="28">
        <f>IF(A63="","",IF(SUMPRODUCT((Plans!$A$3:$A$300=A63)*(Plans!$B$3:$B$300=B63)*(Plans!$C$3:$C$300=C63))=0,"PLAN INCONNU","ok"))</f>
        <v/>
      </c>
      <c r="P63" t="n">
        <v>0.8</v>
      </c>
    </row>
    <row r="64">
      <c r="A64" s="16" t="inlineStr">
        <is>
          <t>flex-2-step</t>
        </is>
      </c>
      <c r="B64" s="21" t="n">
        <v>100000</v>
      </c>
      <c r="C64" s="16" t="n"/>
      <c r="D64" s="16" t="inlineStr">
        <is>
          <t>evaluation</t>
        </is>
      </c>
      <c r="E64" s="21" t="n">
        <v>10000</v>
      </c>
      <c r="F64" s="21" t="n">
        <v>12000</v>
      </c>
      <c r="G64" s="16" t="inlineStr">
        <is>
          <t>Static</t>
        </is>
      </c>
      <c r="H64" s="21" t="n">
        <v>4000</v>
      </c>
      <c r="I64" s="23" t="n">
        <v>1</v>
      </c>
      <c r="J64" s="31" t="n"/>
      <c r="K64" s="23" t="n"/>
      <c r="L64" s="31" t="n"/>
      <c r="M64" s="21" t="n"/>
      <c r="N64" s="21" t="n"/>
      <c r="O64" s="28">
        <f>IF(A64="","",IF(SUMPRODUCT((Plans!$A$3:$A$300=A64)*(Plans!$B$3:$B$300=B64)*(Plans!$C$3:$C$300=C64))=0,"PLAN INCONNU","ok"))</f>
        <v/>
      </c>
    </row>
    <row r="65">
      <c r="A65" s="16" t="inlineStr">
        <is>
          <t>flex-2-step</t>
        </is>
      </c>
      <c r="B65" s="21" t="n">
        <v>100000</v>
      </c>
      <c r="C65" s="16" t="n"/>
      <c r="D65" s="16" t="inlineStr">
        <is>
          <t>evaluation_2</t>
        </is>
      </c>
      <c r="E65" s="21" t="n">
        <v>8000</v>
      </c>
      <c r="F65" s="21" t="n">
        <v>12000</v>
      </c>
      <c r="G65" s="16" t="inlineStr">
        <is>
          <t>Static</t>
        </is>
      </c>
      <c r="H65" s="21" t="n">
        <v>4000</v>
      </c>
      <c r="I65" s="23" t="n">
        <v>1</v>
      </c>
      <c r="J65" s="31" t="n"/>
      <c r="K65" s="23" t="n"/>
      <c r="L65" s="31" t="n"/>
      <c r="M65" s="21" t="n"/>
      <c r="N65" s="21" t="n"/>
      <c r="O65" s="28">
        <f>IF(A65="","",IF(SUMPRODUCT((Plans!$A$3:$A$300=A65)*(Plans!$B$3:$B$300=B65)*(Plans!$C$3:$C$300=C65))=0,"PLAN INCONNU","ok"))</f>
        <v/>
      </c>
    </row>
    <row r="66">
      <c r="A66" s="16" t="inlineStr">
        <is>
          <t>flex-2-step</t>
        </is>
      </c>
      <c r="B66" s="21" t="n">
        <v>100000</v>
      </c>
      <c r="C66" s="16" t="n"/>
      <c r="D66" s="16" t="inlineStr">
        <is>
          <t>funded</t>
        </is>
      </c>
      <c r="E66" s="21" t="n"/>
      <c r="F66" s="21" t="n">
        <v>12000</v>
      </c>
      <c r="G66" s="16" t="inlineStr">
        <is>
          <t>Static</t>
        </is>
      </c>
      <c r="H66" s="21" t="n">
        <v>4000</v>
      </c>
      <c r="I66" s="23" t="n">
        <v>0</v>
      </c>
      <c r="J66" s="31" t="n"/>
      <c r="K66" s="23" t="n"/>
      <c r="L66" s="31" t="n">
        <v>1</v>
      </c>
      <c r="M66" s="21" t="n"/>
      <c r="N66" s="21" t="n">
        <v>1000</v>
      </c>
      <c r="O66" s="28">
        <f>IF(A66="","",IF(SUMPRODUCT((Plans!$A$3:$A$300=A66)*(Plans!$B$3:$B$300=B66)*(Plans!$C$3:$C$300=C66))=0,"PLAN INCONNU","ok"))</f>
        <v/>
      </c>
      <c r="P66" t="n">
        <v>0.8</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1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n"/>
      <c r="C2" s="17" t="inlineStr">
        <is>
          <t>SCANNED</t>
        </is>
      </c>
      <c r="D2" s="18" t="inlineStr">
        <is>
          <t>La case pointillee « [CODE] », en haut et dans « Your selection ».</t>
        </is>
      </c>
    </row>
    <row r="3" ht="44" customHeight="1">
      <c r="A3" s="15" t="inlineStr">
        <is>
          <t>remise</t>
        </is>
      </c>
      <c r="B3" s="31" t="n"/>
      <c r="C3" s="30" t="n">
        <v>0.3</v>
      </c>
      <c r="D3" s="18" t="inlineStr">
        <is>
          <t>« [XX]% OFF » et « [XX]% with [CODE] ». En %.</t>
        </is>
      </c>
    </row>
    <row r="4" ht="44" customHeight="1">
      <c r="A4" s="15" t="inlineStr">
        <is>
          <t>portee</t>
        </is>
      </c>
      <c r="B4" s="16" t="n"/>
      <c r="C4" s="17" t="inlineStr">
        <is>
          <t>non_confirmee</t>
        </is>
      </c>
      <c r="D4" s="18" t="inlineStr">
        <is>
          <t>non_confirmee → prix remise affiche avec « ≈ ». Sert aussi la reponse FAQ sur le code.</t>
        </is>
      </c>
    </row>
    <row r="5" ht="44" customHeight="1">
      <c r="A5" s="15" t="inlineStr">
        <is>
          <t>checkout_verifie</t>
        </is>
      </c>
      <c r="B5" s="16" t="n"/>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needs_confirmation</t>
        </is>
      </c>
      <c r="C9" s="33" t="inlineStr">
        <is>
          <t>needs_confirmation</t>
        </is>
      </c>
      <c r="D9" s="18" t="inlineStr">
        <is>
          <t>Seule une offre confirmed s'affiche : remise, code, Copy code et Claim deal. Vide ou needs_confirmation : la carte garde le plan, le prix public et Continue to.</t>
        </is>
      </c>
    </row>
    <row r="10">
      <c r="A10" s="15" t="inlineStr">
        <is>
          <t>accroche</t>
        </is>
      </c>
      <c r="D10" s="15" t="inlineStr">
        <is>
          <t>Une phrase courte pour le bandeau de campagne du site : ce que l'offre donne, en plus du pourcentage. Vide : le bandeau n'affiche que la remise.</t>
        </is>
      </c>
    </row>
    <row r="11">
      <c r="A11" s="15" t="inlineStr">
        <is>
          <t>remise_campagne</t>
        </is>
      </c>
      <c r="D11" s="15" t="inlineStr">
        <is>
          <t>Taux d'une campagne a duree limitee, en %. Il remplace « remise » jusqu'a « campagne_fin », puis la fiche revient a « remise ».</t>
        </is>
      </c>
    </row>
    <row r="12">
      <c r="A12" s="15" t="inlineStr">
        <is>
          <t>campagne_fin</t>
        </is>
      </c>
      <c r="D12" s="15" t="inlineStr">
        <is>
          <t>Fin de la campagne, date et heure ISO. Passee, le taux de campagne et l'accroche disparaissent, l'offre permanente reste.</t>
        </is>
      </c>
    </row>
    <row r="13">
      <c r="A13" s="15" t="inlineStr">
        <is>
          <t>bonus</t>
        </is>
      </c>
      <c r="D13" s="15" t="inlineStr">
        <is>
          <t>Deux ou trois mots pour ce que l'offre donne en plus du pourcentage (« +1 free reset »). Affiche en pastille sur la fiche et sur la carte /compare. Suit la campagne : il disparait avec elle.</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inlineStr">
        <is>
          <t>41 simulated CFDs on forex, metals, indices, energies and crypto. Leverage runs from 1:100 on forex down to 1:2 on crypto, and a temporary tiered leverage applies to metals, energies and indices on the standard Master accounts. Maximum 20 lots per click, 1 lot on crypto.</t>
        </is>
      </c>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inlineStr">
        <is>
          <t>$5 per lot round turn on forex and metals, $7 on Zero, $10 with the swing or swap-free add-on and on Prime. Nothing on indices and energies; crypto costs 0.04% of the notional. Swap-free exists on MetaTrader 5 only and removes swaps on forex and metals alone.</t>
        </is>
      </c>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inlineStr">
        <is>
          <t>You pick the cycle, and the cycle sets your share. The minimum is 1% of the Master size, 2% on the on-demand cycle. Processing is announced in one to three working days by card, crypto, Rise or bank transfer, plus the bank's own delay.</t>
        </is>
      </c>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One or two phases depending on the model, with no deadline. Zero skips this step and starts funded.</t>
        </is>
      </c>
    </row>
    <row r="4">
      <c r="A4" s="24" t="n">
        <v>2</v>
      </c>
      <c r="B4" s="17" t="inlineStr">
        <is>
          <t>funded</t>
        </is>
      </c>
      <c r="C4" s="17" t="inlineStr">
        <is>
          <t>Master account</t>
        </is>
      </c>
      <c r="D4" s="17" t="inlineStr">
        <is>
          <t>No profit target, but the rule set tightens: risk per trade idea, news windows, consistency and profitable days depend on the model and on the reward cycle you choose.</t>
        </is>
      </c>
    </row>
    <row r="5">
      <c r="A5" s="24" t="n">
        <v>3</v>
      </c>
      <c r="B5" s="17" t="inlineStr">
        <is>
          <t>payout</t>
        </is>
      </c>
      <c r="C5" s="17" t="inlineStr">
        <is>
          <t>Rewards</t>
        </is>
      </c>
      <c r="D5" s="17" t="inlineStr">
        <is>
          <t>Weekly, bi-weekly, on demand or monthly. The later you withdraw, the larger your share — from 60% up to 100% on the Standard model.</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inlineStr">
        <is>
          <t>Prime account</t>
        </is>
      </c>
      <c r="B3" s="16" t="inlineStr">
        <is>
          <t>Not something you can buy: an invitation, or the third reward on a Master account. The Master and its evaluations close when Prime opens.</t>
        </is>
      </c>
      <c r="C3" s="23" t="n">
        <v>1</v>
      </c>
      <c r="D3" s="16" t="inlineStr">
        <is>
          <t>Access</t>
        </is>
      </c>
      <c r="E3" s="16" t="inlineStr">
        <is>
          <t>On invitation or after the third reward</t>
        </is>
      </c>
    </row>
    <row r="4">
      <c r="A4" s="16" t="inlineStr">
        <is>
          <t>Prime account</t>
        </is>
      </c>
      <c r="B4" s="16" t="n"/>
      <c r="C4" s="23" t="n">
        <v>2</v>
      </c>
      <c r="D4" s="16" t="inlineStr">
        <is>
          <t>Size</t>
        </is>
      </c>
      <c r="E4" s="16" t="inlineStr">
        <is>
          <t>Your profit after split multiplied by 12.5, up to $2M</t>
        </is>
      </c>
    </row>
    <row r="5">
      <c r="A5" s="16" t="inlineStr">
        <is>
          <t>Prime account</t>
        </is>
      </c>
      <c r="B5" s="16" t="n"/>
      <c r="C5" s="23" t="n">
        <v>3</v>
      </c>
      <c r="D5" s="16" t="inlineStr">
        <is>
          <t>Daily loss</t>
        </is>
      </c>
      <c r="E5" s="16" t="inlineStr">
        <is>
          <t>2% or 3% depending on the official page — to be confirmed</t>
        </is>
      </c>
    </row>
    <row r="6">
      <c r="A6" s="16" t="inlineStr">
        <is>
          <t>Prime account</t>
        </is>
      </c>
      <c r="B6" s="16" t="n"/>
      <c r="C6" s="23" t="n">
        <v>4</v>
      </c>
      <c r="D6" s="16" t="inlineStr">
        <is>
          <t>Maximum loss</t>
        </is>
      </c>
      <c r="E6" s="16" t="inlineStr">
        <is>
          <t>8% trailing, measured at the end of the day</t>
        </is>
      </c>
    </row>
    <row r="7">
      <c r="A7" s="16" t="inlineStr">
        <is>
          <t>Prime account</t>
        </is>
      </c>
      <c r="B7" s="16" t="n"/>
      <c r="C7" s="23" t="n">
        <v>5</v>
      </c>
      <c r="D7" s="16" t="inlineStr">
        <is>
          <t>Floor lock</t>
        </is>
      </c>
      <c r="E7" s="16" t="inlineStr">
        <is>
          <t>Locks after a close at +3%</t>
        </is>
      </c>
    </row>
    <row r="8">
      <c r="A8" s="16" t="inlineStr">
        <is>
          <t>Prime account</t>
        </is>
      </c>
      <c r="B8" s="16" t="n"/>
      <c r="C8" s="23" t="n">
        <v>6</v>
      </c>
      <c r="D8" s="16" t="inlineStr">
        <is>
          <t>Platform</t>
        </is>
      </c>
      <c r="E8" s="16" t="inlineStr">
        <is>
          <t>MetaTrader 5 only</t>
        </is>
      </c>
    </row>
    <row r="9">
      <c r="A9" s="16" t="inlineStr">
        <is>
          <t>Prime account</t>
        </is>
      </c>
      <c r="B9" s="16" t="n"/>
      <c r="C9" s="23" t="n">
        <v>7</v>
      </c>
      <c r="D9" s="16" t="inlineStr">
        <is>
          <t>Rewards</t>
        </is>
      </c>
      <c r="E9" s="16" t="inlineStr">
        <is>
          <t>Daily, 80%, with no cap on the number of requests</t>
        </is>
      </c>
    </row>
    <row r="10">
      <c r="A10" s="16" t="inlineStr">
        <is>
          <t>Prime account</t>
        </is>
      </c>
      <c r="B10" s="16" t="n"/>
      <c r="C10" s="23" t="n">
        <v>8</v>
      </c>
      <c r="D10" s="16" t="inlineStr">
        <is>
          <t>Total allocation</t>
        </is>
      </c>
      <c r="E10" s="16" t="inlineStr">
        <is>
          <t>$400K across active Prime accounts</t>
        </is>
      </c>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Account fee</t>
        </is>
      </c>
      <c r="C3" s="17" t="inlineStr">
        <is>
          <t>One-time</t>
        </is>
      </c>
      <c r="D3" s="17" t="inlineStr">
        <is>
          <t>Paid once per account, from $29 to $888 depending on model and size.</t>
        </is>
      </c>
      <c r="E3" s="17" t="n"/>
    </row>
    <row r="4">
      <c r="A4" s="23" t="n">
        <v>2</v>
      </c>
      <c r="B4" s="16" t="inlineStr">
        <is>
          <t>Commissions</t>
        </is>
      </c>
      <c r="C4" s="16" t="inlineStr">
        <is>
          <t>$5 per lot</t>
        </is>
      </c>
      <c r="D4" s="16" t="inlineStr">
        <is>
          <t>Round turn on forex and metals. Nothing on indices and energies; 0.04% of notional on crypto.</t>
        </is>
      </c>
      <c r="E4" s="16" t="inlineStr">
        <is>
          <t>standard-2-step, pro-2-step, flex-2-step, flex-1-step</t>
        </is>
      </c>
    </row>
    <row r="5">
      <c r="A5" s="23" t="n">
        <v>3</v>
      </c>
      <c r="B5" s="16" t="inlineStr">
        <is>
          <t>Commissions</t>
        </is>
      </c>
      <c r="C5" s="16" t="inlineStr">
        <is>
          <t>$7 per lot</t>
        </is>
      </c>
      <c r="D5" s="16" t="inlineStr">
        <is>
          <t>Round turn on forex and metals, higher than on the evaluation models.</t>
        </is>
      </c>
      <c r="E5" s="16" t="inlineStr">
        <is>
          <t>zero</t>
        </is>
      </c>
    </row>
    <row r="6">
      <c r="A6" s="23" t="n">
        <v>4</v>
      </c>
      <c r="B6" s="16" t="inlineStr">
        <is>
          <t>Swing or swap-free add-on</t>
        </is>
      </c>
      <c r="C6" s="16" t="inlineStr">
        <is>
          <t>$10 per lot</t>
        </is>
      </c>
      <c r="D6" s="16" t="inlineStr">
        <is>
          <t>Replaces the standard commission on forex and metals. Swap-free is MetaTrader 5 only and removes swaps on forex and metals alone.</t>
        </is>
      </c>
      <c r="E6" s="16" t="n"/>
    </row>
    <row r="7">
      <c r="A7" s="23" t="n">
        <v>5</v>
      </c>
      <c r="B7" s="16" t="inlineStr">
        <is>
          <t>Reset</t>
        </is>
      </c>
      <c r="C7" s="16" t="inlineStr">
        <is>
          <t>7% to 20% off</t>
        </is>
      </c>
      <c r="D7" s="16" t="inlineStr">
        <is>
          <t>Zero resets at 20% off within 7 days of the breach. Evaluation phases reset at 8%, a Master at 7% — and a Master reset sends the account back to phase 1.</t>
        </is>
      </c>
      <c r="E7" s="16" t="n"/>
    </row>
    <row r="8">
      <c r="A8" s="23" t="n">
        <v>6</v>
      </c>
      <c r="B8" s="16" t="inlineStr">
        <is>
          <t>Registration fee refund</t>
        </is>
      </c>
      <c r="C8" s="16" t="inlineStr">
        <is>
          <t>At the 4th reward</t>
        </is>
      </c>
      <c r="D8" s="16" t="inlineStr">
        <is>
          <t>On the 2-Step Standard model.</t>
        </is>
      </c>
      <c r="E8" s="16" t="inlineStr">
        <is>
          <t>standard-2-step</t>
        </is>
      </c>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Maximum loss</t>
        </is>
      </c>
      <c r="C3" s="17" t="inlineStr">
        <is>
          <t>5% trailing on your highest equity. Once the account is up 5%, the floor locks at the starting balance. It does not reset after a reward.</t>
        </is>
      </c>
      <c r="D3" s="17" t="inlineStr">
        <is>
          <t>confirmed</t>
        </is>
      </c>
      <c r="E3" s="17" t="inlineStr">
        <is>
          <t>zero</t>
        </is>
      </c>
      <c r="F3" s="17" t="n"/>
      <c r="G3" s="17" t="n"/>
      <c r="H3" s="17" t="inlineStr">
        <is>
          <t>oui</t>
        </is>
      </c>
      <c r="I3" s="17" t="inlineStr">
        <is>
          <t>oui</t>
        </is>
      </c>
      <c r="J3" s="17" t="inlineStr">
        <is>
          <t>https://help.fundingpips.com/hc/en-us/articles/34502157694865-FundingPips-Zero</t>
        </is>
      </c>
    </row>
    <row r="4">
      <c r="A4" s="17" t="inlineStr">
        <is>
          <t>trading</t>
        </is>
      </c>
      <c r="B4" s="17" t="inlineStr">
        <is>
          <t>Maximum loss</t>
        </is>
      </c>
      <c r="C4" s="17" t="inlineStr">
        <is>
          <t>Static: the floor is set at purchase and never moves, whatever you earn.</t>
        </is>
      </c>
      <c r="D4" s="17" t="inlineStr">
        <is>
          <t>confirmed</t>
        </is>
      </c>
      <c r="E4" s="17" t="inlineStr">
        <is>
          <t>standard-2-step, pro-2-step, flex-2-step, flex-1-step</t>
        </is>
      </c>
      <c r="F4" s="17" t="n"/>
      <c r="G4" s="17" t="n"/>
      <c r="H4" s="17" t="inlineStr">
        <is>
          <t>oui</t>
        </is>
      </c>
      <c r="I4" s="17" t="inlineStr">
        <is>
          <t>oui</t>
        </is>
      </c>
      <c r="J4" s="17" t="inlineStr">
        <is>
          <t>https://fundingpips.com/trading-objectives</t>
        </is>
      </c>
    </row>
    <row r="5">
      <c r="A5" s="16" t="inlineStr">
        <is>
          <t>trading</t>
        </is>
      </c>
      <c r="B5" s="16" t="inlineStr">
        <is>
          <t>Floating loss</t>
        </is>
      </c>
      <c r="C5" s="16" t="inlineStr">
        <is>
          <t>All open positions combined may not lose more than 1% of the starting size at any moment.</t>
        </is>
      </c>
      <c r="D5" s="16" t="inlineStr">
        <is>
          <t>confirmed</t>
        </is>
      </c>
      <c r="E5" s="16" t="inlineStr">
        <is>
          <t>zero</t>
        </is>
      </c>
      <c r="F5" s="16" t="n"/>
      <c r="G5" s="16" t="n"/>
      <c r="H5" s="16" t="inlineStr">
        <is>
          <t>oui</t>
        </is>
      </c>
      <c r="I5" s="16" t="inlineStr">
        <is>
          <t>oui</t>
        </is>
      </c>
      <c r="J5" s="16" t="inlineStr">
        <is>
          <t>https://help.fundingpips.com/hc/en-us/articles/34502157694865-FundingPips-Zero</t>
        </is>
      </c>
    </row>
    <row r="6">
      <c r="A6" s="16" t="inlineStr">
        <is>
          <t>trading</t>
        </is>
      </c>
      <c r="B6" s="16" t="inlineStr">
        <is>
          <t>Risk per trade idea</t>
        </is>
      </c>
      <c r="C6" s="16" t="inlineStr">
        <is>
          <t>3% below $50K, 2% from $50K.</t>
        </is>
      </c>
      <c r="D6" s="16" t="inlineStr">
        <is>
          <t>confirmed</t>
        </is>
      </c>
      <c r="E6" s="16" t="inlineStr">
        <is>
          <t>zero</t>
        </is>
      </c>
      <c r="F6" s="16" t="n"/>
      <c r="G6" s="16" t="n"/>
      <c r="H6" s="16" t="n"/>
      <c r="I6" s="16" t="n"/>
      <c r="J6" s="16" t="inlineStr">
        <is>
          <t>https://help.fundingpips.com/hc/en-us/articles/34502157694865-FundingPips-Zero</t>
        </is>
      </c>
    </row>
    <row r="7">
      <c r="A7" s="16" t="inlineStr">
        <is>
          <t>trading</t>
        </is>
      </c>
      <c r="B7" s="16" t="inlineStr">
        <is>
          <t>Risk per trade idea</t>
        </is>
      </c>
      <c r="C7" s="16" t="inlineStr">
        <is>
          <t>No direct limit below $25K, 3% at $25K, 2% above.</t>
        </is>
      </c>
      <c r="D7" s="16" t="inlineStr">
        <is>
          <t>confirmed</t>
        </is>
      </c>
      <c r="E7" s="16" t="inlineStr">
        <is>
          <t>flex-2-step</t>
        </is>
      </c>
      <c r="F7" s="16" t="n"/>
      <c r="G7" s="16" t="inlineStr">
        <is>
          <t>funded</t>
        </is>
      </c>
      <c r="H7" s="16" t="n"/>
      <c r="I7" s="16" t="n"/>
      <c r="J7" s="16" t="inlineStr">
        <is>
          <t>https://help.fundingpips.com/hc/en-us/articles/47835196271249-2-Step-Flex</t>
        </is>
      </c>
    </row>
    <row r="8">
      <c r="A8" s="16" t="inlineStr">
        <is>
          <t>trading</t>
        </is>
      </c>
      <c r="B8" s="16" t="inlineStr">
        <is>
          <t>Striking System</t>
        </is>
      </c>
      <c r="C8" s="16" t="inlineStr">
        <is>
          <t>A trade idea losing 1% triggers a strike. Warnings carry over from one cycle to the next.</t>
        </is>
      </c>
      <c r="D8" s="16" t="inlineStr">
        <is>
          <t>confirmed</t>
        </is>
      </c>
      <c r="E8" s="16" t="inlineStr">
        <is>
          <t>flex-1-step</t>
        </is>
      </c>
      <c r="F8" s="16" t="n"/>
      <c r="G8" s="16" t="inlineStr">
        <is>
          <t>funded</t>
        </is>
      </c>
      <c r="H8" s="16" t="n"/>
      <c r="I8" s="16" t="inlineStr">
        <is>
          <t>oui</t>
        </is>
      </c>
      <c r="J8" s="16" t="inlineStr">
        <is>
          <t>https://help.fundingpips.com/hc/en-us/articles/34501697434385-1-Step-Flex</t>
        </is>
      </c>
    </row>
    <row r="9">
      <c r="A9" s="16" t="inlineStr">
        <is>
          <t>trading</t>
        </is>
      </c>
      <c r="B9" s="16" t="inlineStr">
        <is>
          <t>Striking System</t>
        </is>
      </c>
      <c r="C9" s="16" t="inlineStr">
        <is>
          <t>Applies above $25K on the newer 8% accounts, and on the monthly reward cycle.</t>
        </is>
      </c>
      <c r="D9" s="16" t="inlineStr">
        <is>
          <t>confirmed</t>
        </is>
      </c>
      <c r="E9" s="16" t="inlineStr">
        <is>
          <t>standard-2-step, pro-2-step</t>
        </is>
      </c>
      <c r="F9" s="16" t="n"/>
      <c r="G9" s="16" t="inlineStr">
        <is>
          <t>funded</t>
        </is>
      </c>
      <c r="H9" s="16" t="n"/>
      <c r="I9" s="16" t="n"/>
      <c r="J9" s="16" t="inlineStr">
        <is>
          <t>https://help.fundingpips.com/hc/en-us/articles/34501809112081-2-Step-Standard</t>
        </is>
      </c>
    </row>
    <row r="10">
      <c r="A10" s="16" t="inlineStr">
        <is>
          <t>trading</t>
        </is>
      </c>
      <c r="B10" s="16" t="inlineStr">
        <is>
          <t>Profitable days</t>
        </is>
      </c>
      <c r="C10" s="16" t="inlineStr">
        <is>
          <t>Seven days at 0.25% or more in every rolling 30-day window.</t>
        </is>
      </c>
      <c r="D10" s="16" t="inlineStr">
        <is>
          <t>confirmed</t>
        </is>
      </c>
      <c r="E10" s="16" t="inlineStr">
        <is>
          <t>zero</t>
        </is>
      </c>
      <c r="F10" s="16" t="n"/>
      <c r="G10" s="16" t="n"/>
      <c r="H10" s="16" t="inlineStr">
        <is>
          <t>oui</t>
        </is>
      </c>
      <c r="I10" s="16" t="inlineStr">
        <is>
          <t>oui</t>
        </is>
      </c>
      <c r="J10" s="16" t="inlineStr">
        <is>
          <t>https://help.fundingpips.com/hc/en-us/articles/34502157694865-FundingPips-Zero</t>
        </is>
      </c>
    </row>
    <row r="11">
      <c r="A11" s="16" t="inlineStr">
        <is>
          <t>trading</t>
        </is>
      </c>
      <c r="B11" s="16" t="inlineStr">
        <is>
          <t>Consistency</t>
        </is>
      </c>
      <c r="C11" s="16" t="inlineStr">
        <is>
          <t>Your best day may not exceed 15% of your cumulative profit.</t>
        </is>
      </c>
      <c r="D11" s="16" t="inlineStr">
        <is>
          <t>confirmed</t>
        </is>
      </c>
      <c r="E11" s="16" t="inlineStr">
        <is>
          <t>zero</t>
        </is>
      </c>
      <c r="F11" s="16" t="n"/>
      <c r="G11" s="16" t="n"/>
      <c r="H11" s="16" t="n"/>
      <c r="I11" s="16" t="inlineStr">
        <is>
          <t>oui</t>
        </is>
      </c>
      <c r="J11" s="16" t="inlineStr">
        <is>
          <t>https://help.fundingpips.com/hc/en-us/articles/34502157694865-FundingPips-Zero</t>
        </is>
      </c>
    </row>
    <row r="12">
      <c r="A12" s="16" t="inlineStr">
        <is>
          <t>trading</t>
        </is>
      </c>
      <c r="B12" s="16" t="inlineStr">
        <is>
          <t>Inactivity</t>
        </is>
      </c>
      <c r="C12" s="16" t="inlineStr">
        <is>
          <t>Thirty calendar days without a fully closed trade ends the account.</t>
        </is>
      </c>
      <c r="D12" s="16" t="inlineStr">
        <is>
          <t>confirmed</t>
        </is>
      </c>
      <c r="E12" s="16" t="inlineStr">
        <is>
          <t>standard-2-step, pro-2-step, flex-2-step, flex-1-step, zero</t>
        </is>
      </c>
      <c r="F12" s="16" t="n"/>
      <c r="G12" s="16" t="n"/>
      <c r="H12" s="16" t="inlineStr">
        <is>
          <t>oui</t>
        </is>
      </c>
      <c r="I12" s="16" t="n"/>
      <c r="J12" s="16" t="inlineStr">
        <is>
          <t>https://help.fundingpips.com/hc/en-us/articles/34505029138449-Trading-Conduct-and-Security-Standards</t>
        </is>
      </c>
    </row>
    <row r="13">
      <c r="A13" s="16" t="inlineStr">
        <is>
          <t>trading</t>
        </is>
      </c>
      <c r="B13" s="16" t="inlineStr">
        <is>
          <t>Minimum days</t>
        </is>
      </c>
      <c r="C13" s="16" t="inlineStr">
        <is>
          <t>Three days per phase, or none if you buy the 3% daily loss variant.</t>
        </is>
      </c>
      <c r="D13" s="16" t="inlineStr">
        <is>
          <t>confirmed</t>
        </is>
      </c>
      <c r="E13" s="16" t="inlineStr">
        <is>
          <t>standard-2-step</t>
        </is>
      </c>
      <c r="F13" s="16" t="n"/>
      <c r="G13" s="16" t="n"/>
      <c r="H13" s="16" t="n"/>
      <c r="I13" s="16" t="inlineStr">
        <is>
          <t>oui</t>
        </is>
      </c>
      <c r="J13" s="16" t="inlineStr">
        <is>
          <t>https://help.fundingpips.com/hc/en-us/articles/34501809112081-2-Step-Standard</t>
        </is>
      </c>
    </row>
    <row r="14">
      <c r="A14" s="16" t="inlineStr">
        <is>
          <t>trading</t>
        </is>
      </c>
      <c r="B14" s="16" t="inlineStr">
        <is>
          <t>Minimum days</t>
        </is>
      </c>
      <c r="C14" s="16" t="inlineStr">
        <is>
          <t>The checkout shows none, while the help centre still asks for two days per phase on accounts created since 26 August 2026. Check the rules of your own account before you rely on either.</t>
        </is>
      </c>
      <c r="D14" s="16" t="inlineStr">
        <is>
          <t>source_conflict</t>
        </is>
      </c>
      <c r="E14" s="16" t="inlineStr">
        <is>
          <t>pro-2-step</t>
        </is>
      </c>
      <c r="F14" s="16" t="n"/>
      <c r="G14" s="16" t="n"/>
      <c r="H14" s="16" t="n"/>
      <c r="I14" s="16" t="inlineStr">
        <is>
          <t>oui</t>
        </is>
      </c>
      <c r="J14" s="16" t="inlineStr">
        <is>
          <t>https://help.fundingpips.com/hc/en-us/articles/34502027344017-2-Step-Pro-Model</t>
        </is>
      </c>
    </row>
    <row r="15">
      <c r="A15" s="16" t="inlineStr">
        <is>
          <t>trading</t>
        </is>
      </c>
      <c r="B15" s="16" t="inlineStr">
        <is>
          <t>News</t>
        </is>
      </c>
      <c r="C15" s="16" t="inlineStr">
        <is>
          <t>You may manage a position through an announcement, but deliberately trading the release is not allowed.</t>
        </is>
      </c>
      <c r="D15" s="16" t="inlineStr">
        <is>
          <t>confirmed</t>
        </is>
      </c>
      <c r="E15" s="16" t="inlineStr">
        <is>
          <t>standard-2-step, pro-2-step, flex-2-step, flex-1-step</t>
        </is>
      </c>
      <c r="F15" s="16" t="n"/>
      <c r="G15" s="16" t="inlineStr">
        <is>
          <t>evaluation</t>
        </is>
      </c>
      <c r="H15" s="16" t="n"/>
      <c r="I15" s="16" t="n"/>
      <c r="J15" s="16" t="inlineStr">
        <is>
          <t>https://help.fundingpips.com/hc/en-us/articles/34504137479441-News-Trading-Weekend-Holding</t>
        </is>
      </c>
    </row>
    <row r="16">
      <c r="A16" s="16" t="inlineStr">
        <is>
          <t>trading</t>
        </is>
      </c>
      <c r="B16" s="16" t="inlineStr">
        <is>
          <t>News</t>
        </is>
      </c>
      <c r="C16" s="16" t="inlineStr">
        <is>
          <t>Five minutes either side of a high-impact release, ten minutes around a speech. A position opened at least five hours earlier is exempt. Profit taken inside the window can be removed; a loss still counts.</t>
        </is>
      </c>
      <c r="D16" s="16" t="inlineStr">
        <is>
          <t>confirmed</t>
        </is>
      </c>
      <c r="E16" s="16" t="inlineStr">
        <is>
          <t>standard-2-step, pro-2-step, flex-2-step, flex-1-step</t>
        </is>
      </c>
      <c r="F16" s="16" t="n"/>
      <c r="G16" s="16" t="inlineStr">
        <is>
          <t>funded</t>
        </is>
      </c>
      <c r="H16" s="16" t="n"/>
      <c r="I16" s="16" t="inlineStr">
        <is>
          <t>oui</t>
        </is>
      </c>
      <c r="J16" s="16" t="inlineStr">
        <is>
          <t>https://help.fundingpips.com/hc/en-us/articles/34504137479441-News-Trading-Weekend-Holding</t>
        </is>
      </c>
    </row>
    <row r="17">
      <c r="A17" s="16" t="inlineStr">
        <is>
          <t>trading</t>
        </is>
      </c>
      <c r="B17" s="16" t="inlineStr">
        <is>
          <t>News</t>
        </is>
      </c>
      <c r="C17" s="16" t="inlineStr">
        <is>
          <t>You may not open, close or hold a position in the ten minutes before or after a restricted release. Breaking it ends the account.</t>
        </is>
      </c>
      <c r="D17" s="16" t="inlineStr">
        <is>
          <t>confirmed</t>
        </is>
      </c>
      <c r="E17" s="16" t="inlineStr">
        <is>
          <t>zero</t>
        </is>
      </c>
      <c r="F17" s="16" t="n"/>
      <c r="G17" s="16" t="n"/>
      <c r="H17" s="16" t="inlineStr">
        <is>
          <t>oui</t>
        </is>
      </c>
      <c r="I17" s="16" t="inlineStr">
        <is>
          <t>oui</t>
        </is>
      </c>
      <c r="J17" s="16" t="inlineStr">
        <is>
          <t>https://help.fundingpips.com/hc/en-us/articles/34502157694865-FundingPips-Zero</t>
        </is>
      </c>
    </row>
    <row r="18">
      <c r="A18" s="16" t="inlineStr">
        <is>
          <t>trading</t>
        </is>
      </c>
      <c r="B18" s="16" t="inlineStr">
        <is>
          <t>Weekend</t>
        </is>
      </c>
      <c r="C18" s="16" t="inlineStr">
        <is>
          <t>Everything must be closed before the Friday close. The swing add-on does not change this.</t>
        </is>
      </c>
      <c r="D18" s="16" t="inlineStr">
        <is>
          <t>confirmed</t>
        </is>
      </c>
      <c r="E18" s="16" t="inlineStr">
        <is>
          <t>zero</t>
        </is>
      </c>
      <c r="F18" s="16" t="n"/>
      <c r="G18" s="16" t="n"/>
      <c r="H18" s="16" t="inlineStr">
        <is>
          <t>oui</t>
        </is>
      </c>
      <c r="I18" s="16" t="inlineStr">
        <is>
          <t>oui</t>
        </is>
      </c>
      <c r="J18" s="16" t="inlineStr">
        <is>
          <t>https://help.fundingpips.com/hc/en-us/articles/34502157694865-FundingPips-Zero</t>
        </is>
      </c>
    </row>
    <row r="19">
      <c r="A19" s="16" t="inlineStr">
        <is>
          <t>trading</t>
        </is>
      </c>
      <c r="B19" s="16" t="inlineStr">
        <is>
          <t>Weekend and overnight</t>
        </is>
      </c>
      <c r="C19" s="16" t="inlineStr">
        <is>
          <t>Free during the evaluation. On the Master account, positions are closed automatically at the end of the day unless you bought the swing add-on.</t>
        </is>
      </c>
      <c r="D19" s="16" t="inlineStr">
        <is>
          <t>confirmed</t>
        </is>
      </c>
      <c r="E19" s="16" t="inlineStr">
        <is>
          <t>standard-2-step, pro-2-step, flex-2-step, flex-1-step</t>
        </is>
      </c>
      <c r="F19" s="16" t="n"/>
      <c r="G19" s="16" t="n"/>
      <c r="H19" s="16" t="n"/>
      <c r="I19" s="16" t="inlineStr">
        <is>
          <t>oui</t>
        </is>
      </c>
      <c r="J19" s="16" t="inlineStr">
        <is>
          <t>https://help.fundingpips.com/hc/en-us/articles/34504137479441-News-Trading-Weekend-Holding</t>
        </is>
      </c>
    </row>
    <row r="20">
      <c r="A20" s="16" t="inlineStr">
        <is>
          <t>trading</t>
        </is>
      </c>
      <c r="B20" s="16" t="inlineStr">
        <is>
          <t>Automatic close</t>
        </is>
      </c>
      <c r="C20" s="16" t="inlineStr">
        <is>
          <t>20:45–21:00 UTC in summer, 21:45–22:00 UTC in winter. It is not a breach, but that day does not count as a profitable day.</t>
        </is>
      </c>
      <c r="D20" s="16" t="inlineStr">
        <is>
          <t>confirmed</t>
        </is>
      </c>
      <c r="E20" s="16" t="inlineStr">
        <is>
          <t>standard-2-step, pro-2-step, flex-2-step, flex-1-step</t>
        </is>
      </c>
      <c r="F20" s="16" t="n"/>
      <c r="G20" s="16" t="inlineStr">
        <is>
          <t>funded</t>
        </is>
      </c>
      <c r="H20" s="16" t="n"/>
      <c r="I20" s="16" t="n"/>
      <c r="J20" s="16" t="inlineStr">
        <is>
          <t>https://help.fundingpips.com/hc/en-us/articles/34504137479441-News-Trading-Weekend-Holding</t>
        </is>
      </c>
    </row>
    <row r="21">
      <c r="A21" s="16" t="inlineStr">
        <is>
          <t>trading</t>
        </is>
      </c>
      <c r="B21" s="16" t="inlineStr">
        <is>
          <t>Copy trading</t>
        </is>
      </c>
      <c r="C21" s="16" t="inlineStr">
        <is>
          <t>Copying between different users, and letting someone else trade your account, are both forbidden. Copying between your own accounts follows the official tool and its conditions.</t>
        </is>
      </c>
      <c r="D21" s="16" t="inlineStr">
        <is>
          <t>confirmed</t>
        </is>
      </c>
      <c r="E21" s="16" t="inlineStr">
        <is>
          <t>standard-2-step, pro-2-step, flex-2-step, flex-1-step, zero</t>
        </is>
      </c>
      <c r="F21" s="16" t="n"/>
      <c r="G21" s="16" t="n"/>
      <c r="H21" s="16" t="inlineStr">
        <is>
          <t>oui</t>
        </is>
      </c>
      <c r="I21" s="16" t="n"/>
      <c r="J21" s="16" t="inlineStr">
        <is>
          <t>https://help.fundingpips.com/hc/en-us/articles/34505029138449-Trading-Conduct-and-Security-Standards</t>
        </is>
      </c>
    </row>
    <row r="22">
      <c r="A22" s="16" t="inlineStr">
        <is>
          <t>trading</t>
        </is>
      </c>
      <c r="B22" s="16" t="inlineStr">
        <is>
          <t>Expert advisors</t>
        </is>
      </c>
      <c r="C22" s="16" t="inlineStr">
        <is>
          <t>Allowed, provided the strategy itself is. Automating a forbidden strategy does not make it allowed.</t>
        </is>
      </c>
      <c r="D22" s="16" t="inlineStr">
        <is>
          <t>confirmed</t>
        </is>
      </c>
      <c r="E22" s="16" t="inlineStr">
        <is>
          <t>standard-2-step, pro-2-step, flex-2-step, flex-1-step, zero</t>
        </is>
      </c>
      <c r="F22" s="16" t="n"/>
      <c r="G22" s="16" t="n"/>
      <c r="H22" s="16" t="n"/>
      <c r="I22" s="16" t="n"/>
      <c r="J22" s="16" t="inlineStr">
        <is>
          <t>https://help.fundingpips.com/hc/en-us/articles/34505029138449-Trading-Conduct-and-Security-Standards</t>
        </is>
      </c>
    </row>
    <row r="23">
      <c r="A23" s="16" t="inlineStr">
        <is>
          <t>trading</t>
        </is>
      </c>
      <c r="B23" s="16" t="inlineStr">
        <is>
          <t>VPN and VPS</t>
        </is>
      </c>
      <c r="C23" s="16" t="inlineStr">
        <is>
          <t>Both are forbidden by the current Responsible Trading Policy, and device and IP activity is logged.</t>
        </is>
      </c>
      <c r="D23" s="16" t="inlineStr">
        <is>
          <t>confirmed</t>
        </is>
      </c>
      <c r="E23" s="16" t="inlineStr">
        <is>
          <t>standard-2-step, pro-2-step, flex-2-step, flex-1-step, zero</t>
        </is>
      </c>
      <c r="F23" s="16" t="n"/>
      <c r="G23" s="16" t="n"/>
      <c r="H23" s="16" t="inlineStr">
        <is>
          <t>oui</t>
        </is>
      </c>
      <c r="I23" s="16" t="n"/>
      <c r="J23" s="16" t="inlineStr">
        <is>
          <t>https://help.fundingpips.com/hc/en-us/articles/34505029138449-Trading-Conduct-and-Security-Standards</t>
        </is>
      </c>
    </row>
    <row r="24">
      <c r="A24" s="16" t="inlineStr">
        <is>
          <t>trading</t>
        </is>
      </c>
      <c r="B24" s="16" t="inlineStr">
        <is>
          <t>Forbidden strategies</t>
        </is>
      </c>
      <c r="C24" s="16" t="inlineStr">
        <is>
          <t>Gap trading, HFT, latency arbitrage, tick scalping, hedging across accounts, server exploits and churning all end the account.</t>
        </is>
      </c>
      <c r="D24" s="16" t="inlineStr">
        <is>
          <t>confirmed</t>
        </is>
      </c>
      <c r="E24" s="16" t="inlineStr">
        <is>
          <t>standard-2-step, pro-2-step, flex-2-step, flex-1-step, zero</t>
        </is>
      </c>
      <c r="F24" s="16" t="n"/>
      <c r="G24" s="16" t="n"/>
      <c r="H24" s="16" t="inlineStr">
        <is>
          <t>oui</t>
        </is>
      </c>
      <c r="I24" s="16" t="n"/>
      <c r="J24" s="16" t="inlineStr">
        <is>
          <t>https://help.fundingpips.com/hc/en-us/articles/34505029138449-Trading-Conduct-and-Security-Standards</t>
        </is>
      </c>
    </row>
    <row r="25">
      <c r="A25" s="16" t="inlineStr">
        <is>
          <t>trading</t>
        </is>
      </c>
      <c r="B25" s="16" t="inlineStr">
        <is>
          <t>Per-click size</t>
        </is>
      </c>
      <c r="C25" s="16" t="inlineStr">
        <is>
          <t>Twenty lots per order, one lot on crypto.</t>
        </is>
      </c>
      <c r="D25" s="16" t="inlineStr">
        <is>
          <t>confirmed</t>
        </is>
      </c>
      <c r="E25" s="16" t="inlineStr">
        <is>
          <t>standard-2-step, pro-2-step, flex-2-step, flex-1-step, zero</t>
        </is>
      </c>
      <c r="F25" s="16" t="n"/>
      <c r="G25" s="16" t="n"/>
      <c r="H25" s="16" t="n"/>
      <c r="I25" s="16" t="n"/>
      <c r="J25" s="16" t="inlineStr">
        <is>
          <t>https://fundingpips.com/trading-objectives</t>
        </is>
      </c>
    </row>
    <row r="26">
      <c r="A26" s="16" t="inlineStr">
        <is>
          <t>payouts</t>
        </is>
      </c>
      <c r="B26" s="16" t="inlineStr">
        <is>
          <t>Reward cycles</t>
        </is>
      </c>
      <c r="C26" s="16" t="inlineStr">
        <is>
          <t>Weekly pays 60%, bi-weekly 80%, on demand 90% with a 35% consistency score and 2% of profit, monthly 100% after 30 days with 35% consistency and seven days at 0.5%.</t>
        </is>
      </c>
      <c r="D26" s="16" t="inlineStr">
        <is>
          <t>confirmed</t>
        </is>
      </c>
      <c r="E26" s="16" t="inlineStr">
        <is>
          <t>standard-2-step</t>
        </is>
      </c>
      <c r="F26" s="16" t="n"/>
      <c r="G26" s="16" t="inlineStr">
        <is>
          <t>funded</t>
        </is>
      </c>
      <c r="H26" s="16" t="n"/>
      <c r="I26" s="16" t="inlineStr">
        <is>
          <t>oui</t>
        </is>
      </c>
      <c r="J26" s="16" t="inlineStr">
        <is>
          <t>https://help.fundingpips.com/hc/en-us/articles/34504564970385-Reward-Methods</t>
        </is>
      </c>
    </row>
    <row r="27">
      <c r="A27" s="16" t="inlineStr">
        <is>
          <t>payouts</t>
        </is>
      </c>
      <c r="B27" s="16" t="inlineStr">
        <is>
          <t>Reward cycles</t>
        </is>
      </c>
      <c r="C27" s="16" t="inlineStr">
        <is>
          <t>Weekly pays 80% every seven days. Monthly pays 100%, with a 35% consistency score, seven days at 0.5% and the Striking System.</t>
        </is>
      </c>
      <c r="D27" s="16" t="inlineStr">
        <is>
          <t>confirmed</t>
        </is>
      </c>
      <c r="E27" s="16" t="inlineStr">
        <is>
          <t>pro-2-step</t>
        </is>
      </c>
      <c r="F27" s="16" t="n"/>
      <c r="G27" s="16" t="inlineStr">
        <is>
          <t>funded</t>
        </is>
      </c>
      <c r="H27" s="16" t="n"/>
      <c r="I27" s="16" t="inlineStr">
        <is>
          <t>oui</t>
        </is>
      </c>
      <c r="J27" s="16" t="inlineStr">
        <is>
          <t>https://help.fundingpips.com/hc/en-us/articles/34502027344017-2-Step-Pro-Model</t>
        </is>
      </c>
    </row>
    <row r="28">
      <c r="A28" s="16" t="inlineStr">
        <is>
          <t>payouts</t>
        </is>
      </c>
      <c r="B28" s="16" t="inlineStr">
        <is>
          <t>Reward cycle</t>
        </is>
      </c>
      <c r="C28" s="16" t="inlineStr">
        <is>
          <t>Bi-weekly, 95% of the rewards, every 14 days.</t>
        </is>
      </c>
      <c r="D28" s="16" t="inlineStr">
        <is>
          <t>confirmed</t>
        </is>
      </c>
      <c r="E28" s="16" t="inlineStr">
        <is>
          <t>zero</t>
        </is>
      </c>
      <c r="F28" s="16" t="n"/>
      <c r="G28" s="16" t="n"/>
      <c r="H28" s="16" t="n"/>
      <c r="I28" s="16" t="inlineStr">
        <is>
          <t>oui</t>
        </is>
      </c>
      <c r="J28" s="16" t="inlineStr">
        <is>
          <t>https://help.fundingpips.com/hc/en-us/articles/34502157694865-FundingPips-Zero</t>
        </is>
      </c>
    </row>
    <row r="29">
      <c r="A29" s="16" t="inlineStr">
        <is>
          <t>payouts</t>
        </is>
      </c>
      <c r="B29" s="16" t="inlineStr">
        <is>
          <t>Reward cycles</t>
        </is>
      </c>
      <c r="C29" s="16" t="inlineStr">
        <is>
          <t>The bi-weekly share is 80% on the current model page and 85% on the official comparison table: read it at checkout before you buy. Monthly pays 100% on accounts bought from 15 August 2026, with a 35% consistency score and seven days at 0.5%.</t>
        </is>
      </c>
      <c r="D29" s="16" t="inlineStr">
        <is>
          <t>source_conflict</t>
        </is>
      </c>
      <c r="E29" s="16" t="inlineStr">
        <is>
          <t>flex-1-step</t>
        </is>
      </c>
      <c r="F29" s="16" t="n"/>
      <c r="G29" s="16" t="inlineStr">
        <is>
          <t>funded</t>
        </is>
      </c>
      <c r="H29" s="16" t="n"/>
      <c r="I29" s="16" t="inlineStr">
        <is>
          <t>oui</t>
        </is>
      </c>
      <c r="J29" s="16" t="inlineStr">
        <is>
          <t>https://help.fundingpips.com/hc/en-us/articles/34501697434385-1-Step-Flex</t>
        </is>
      </c>
    </row>
    <row r="30">
      <c r="A30" s="16" t="inlineStr">
        <is>
          <t>payouts</t>
        </is>
      </c>
      <c r="B30" s="16" t="inlineStr">
        <is>
          <t>Reward cycles</t>
        </is>
      </c>
      <c r="C30" s="16" t="inlineStr">
        <is>
          <t>The split is chosen at purchase and locked for the life of the account. The standard variant pays 80% or 85% bi-weekly depending on the official page consulted — read it at checkout — the high split variant 95% with three profitable days per cycle, and the monthly route 100%.</t>
        </is>
      </c>
      <c r="D30" s="16" t="inlineStr">
        <is>
          <t>source_conflict</t>
        </is>
      </c>
      <c r="E30" s="16" t="inlineStr">
        <is>
          <t>flex-2-step</t>
        </is>
      </c>
      <c r="F30" s="16" t="n"/>
      <c r="G30" s="16" t="inlineStr">
        <is>
          <t>funded</t>
        </is>
      </c>
      <c r="H30" s="16" t="n"/>
      <c r="I30" s="16" t="inlineStr">
        <is>
          <t>oui</t>
        </is>
      </c>
      <c r="J30" s="16" t="inlineStr">
        <is>
          <t>https://help.fundingpips.com/hc/en-us/articles/47835196271249-2-Step-Flex</t>
        </is>
      </c>
    </row>
    <row r="31">
      <c r="A31" s="16" t="inlineStr">
        <is>
          <t>payouts</t>
        </is>
      </c>
      <c r="B31" s="16" t="inlineStr">
        <is>
          <t>Minimum reward</t>
        </is>
      </c>
      <c r="C31" s="16" t="inlineStr">
        <is>
          <t>1% of the Master size, 2% on the on-demand cycle.</t>
        </is>
      </c>
      <c r="D31" s="16" t="inlineStr">
        <is>
          <t>confirmed</t>
        </is>
      </c>
      <c r="E31" s="16" t="inlineStr">
        <is>
          <t>standard-2-step, pro-2-step, flex-2-step, flex-1-step, zero</t>
        </is>
      </c>
      <c r="F31" s="16" t="n"/>
      <c r="G31" s="16" t="inlineStr">
        <is>
          <t>funded</t>
        </is>
      </c>
      <c r="H31" s="16" t="n"/>
      <c r="I31" s="16" t="n"/>
      <c r="J31" s="16" t="inlineStr">
        <is>
          <t>https://help.fundingpips.com/hc/en-us/articles/34504564970385-Reward-Methods</t>
        </is>
      </c>
    </row>
    <row r="32">
      <c r="A32" s="16" t="inlineStr">
        <is>
          <t>payouts</t>
        </is>
      </c>
      <c r="B32" s="16" t="inlineStr">
        <is>
          <t>Before you request</t>
        </is>
      </c>
      <c r="C32" s="16" t="inlineStr">
        <is>
          <t>Close every position and pending order, wait fifteen minutes, and expect trading to be disabled while the request is processed.</t>
        </is>
      </c>
      <c r="D32" s="16" t="inlineStr">
        <is>
          <t>confirmed</t>
        </is>
      </c>
      <c r="E32" s="16" t="inlineStr">
        <is>
          <t>standard-2-step, pro-2-step, flex-2-step, flex-1-step, zero</t>
        </is>
      </c>
      <c r="F32" s="16" t="n"/>
      <c r="G32" s="16" t="inlineStr">
        <is>
          <t>funded</t>
        </is>
      </c>
      <c r="H32" s="16" t="n"/>
      <c r="I32" s="16" t="n"/>
      <c r="J32" s="16" t="inlineStr">
        <is>
          <t>https://help.fundingpips.com/hc/en-us/articles/34504564970385-Reward-Methods</t>
        </is>
      </c>
    </row>
    <row r="33">
      <c r="A33" s="16" t="inlineStr">
        <is>
          <t>payouts</t>
        </is>
      </c>
      <c r="B33" s="16" t="inlineStr">
        <is>
          <t>Methods</t>
        </is>
      </c>
      <c r="C33" s="16" t="inlineStr">
        <is>
          <t>Card and crypto from 1% of the account, Rise and bank transfer from $500. Processing is announced in one to three working days, plus the bank's own delay.</t>
        </is>
      </c>
      <c r="D33" s="16" t="inlineStr">
        <is>
          <t>confirmed</t>
        </is>
      </c>
      <c r="E33" s="16" t="inlineStr">
        <is>
          <t>standard-2-step, pro-2-step, flex-2-step, flex-1-step, zero</t>
        </is>
      </c>
      <c r="F33" s="16" t="n"/>
      <c r="G33" s="16" t="inlineStr">
        <is>
          <t>funded</t>
        </is>
      </c>
      <c r="H33" s="16" t="n"/>
      <c r="I33" s="16" t="n"/>
      <c r="J33" s="16" t="inlineStr">
        <is>
          <t>https://help.fundingpips.com/hc/en-us/articles/34504564970385-Reward-Methods</t>
        </is>
      </c>
    </row>
    <row r="34">
      <c r="A34" s="16" t="inlineStr">
        <is>
          <t>payouts</t>
        </is>
      </c>
      <c r="B34" s="16" t="inlineStr">
        <is>
          <t>Beneficiary</t>
        </is>
      </c>
      <c r="C34" s="16" t="inlineStr">
        <is>
          <t>The account receiving the money must be in your own name.</t>
        </is>
      </c>
      <c r="D34" s="16" t="inlineStr">
        <is>
          <t>confirmed</t>
        </is>
      </c>
      <c r="E34" s="16" t="inlineStr">
        <is>
          <t>standard-2-step, pro-2-step, flex-2-step, flex-1-step, zero</t>
        </is>
      </c>
      <c r="F34" s="16" t="n"/>
      <c r="G34" s="16" t="inlineStr">
        <is>
          <t>funded</t>
        </is>
      </c>
      <c r="H34" s="16" t="n"/>
      <c r="I34" s="16" t="n"/>
      <c r="J34" s="16" t="inlineStr">
        <is>
          <t>https://help.fundingpips.com/hc/en-us/articles/34504564970385-Reward-Methods</t>
        </is>
      </c>
    </row>
    <row r="35">
      <c r="A35" s="16" t="inlineStr">
        <is>
          <t>payouts</t>
        </is>
      </c>
      <c r="B35" s="16" t="inlineStr">
        <is>
          <t>Registration fee</t>
        </is>
      </c>
      <c r="C35" s="16" t="inlineStr">
        <is>
          <t>Refunded at your fourth reward.</t>
        </is>
      </c>
      <c r="D35" s="16" t="inlineStr">
        <is>
          <t>confirmed</t>
        </is>
      </c>
      <c r="E35" s="16" t="inlineStr">
        <is>
          <t>standard-2-step</t>
        </is>
      </c>
      <c r="F35" s="16" t="n"/>
      <c r="G35" s="16" t="inlineStr">
        <is>
          <t>funded</t>
        </is>
      </c>
      <c r="H35" s="16" t="n"/>
      <c r="I35" s="16" t="n"/>
      <c r="J35" s="16" t="inlineStr">
        <is>
          <t>https://help.fundingpips.com/hc/en-us/articles/34501809112081-2-Step-Standard</t>
        </is>
      </c>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FundingPips has one of the widest CFD catalogues around: instant funding, one or two phases, five or six sizes depending on the model, three platforms and four reward rhythms. The 2-Step Standard is the most balanced route, with 5% a day and 10% overall; the Pro lowers the targets but leaves only 6% of drawdown. The swing add-on makes the standard models usable overnight and over the weekend, while Zero stays strictly incompatible with holding into Saturday.
The point to watch is the density of the Master rules. Striking System, risk per trade idea, news windows, consistency and profitable days all change with the model, the split, the size, the purchase date and the add-ons — so read the rules of the exact plan you are buying, not the firm's summary.</t>
        </is>
      </c>
    </row>
    <row r="4">
      <c r="A4" s="17" t="inlineStr">
        <is>
          <t>pour_qui</t>
        </is>
      </c>
      <c r="B4" s="24" t="n">
        <v>1</v>
      </c>
      <c r="C4" s="17" t="inlineStr">
        <is>
          <t>Day traders who want to choose their own drawdown level</t>
        </is>
      </c>
    </row>
    <row r="5">
      <c r="A5" s="17" t="inlineStr">
        <is>
          <t>pour_qui</t>
        </is>
      </c>
      <c r="B5" s="24" t="n">
        <v>2</v>
      </c>
      <c r="C5" s="17" t="inlineStr">
        <is>
          <t>Traders who want MetaTrader 5, cTrader or Match-Trader</t>
        </is>
      </c>
    </row>
    <row r="6">
      <c r="A6" s="16" t="inlineStr">
        <is>
          <t>pour_qui</t>
        </is>
      </c>
      <c r="B6" s="23" t="n">
        <v>3</v>
      </c>
      <c r="C6" s="16" t="inlineStr">
        <is>
          <t>Traders who would rather wait a month and keep 100% of the rewards</t>
        </is>
      </c>
    </row>
    <row r="7">
      <c r="A7" s="16" t="inlineStr">
        <is>
          <t>pour_qui</t>
        </is>
      </c>
      <c r="B7" s="23" t="n">
        <v>4</v>
      </c>
      <c r="C7" s="16" t="inlineStr">
        <is>
          <t>Swing traders willing to buy the add-on on a standard model</t>
        </is>
      </c>
    </row>
    <row r="8">
      <c r="A8" s="16" t="inlineStr">
        <is>
          <t>limite</t>
        </is>
      </c>
      <c r="B8" s="23" t="n">
        <v>1</v>
      </c>
      <c r="C8" s="16" t="inlineStr">
        <is>
          <t>Every account is simulated, and the rewards come from the firm, not from the market</t>
        </is>
      </c>
    </row>
    <row r="9">
      <c r="A9" s="16" t="inlineStr">
        <is>
          <t>limite</t>
        </is>
      </c>
      <c r="B9" s="23" t="n">
        <v>2</v>
      </c>
      <c r="C9" s="16" t="inlineStr">
        <is>
          <t>Master rules vary widely between models and reward cycles</t>
        </is>
      </c>
    </row>
    <row r="10">
      <c r="A10" s="16" t="inlineStr">
        <is>
          <t>limite</t>
        </is>
      </c>
      <c r="B10" s="23" t="n">
        <v>3</v>
      </c>
      <c r="C10" s="16" t="inlineStr">
        <is>
          <t>Zero forbids news trading and weekend holding, and breaking either ends the account</t>
        </is>
      </c>
    </row>
    <row r="11">
      <c r="A11" s="16" t="inlineStr">
        <is>
          <t>limite</t>
        </is>
      </c>
      <c r="B11" s="23" t="n">
        <v>4</v>
      </c>
      <c r="C11" s="16" t="inlineStr">
        <is>
          <t>Two official pages currently disagree on the 2-Step Flex target and split</t>
        </is>
      </c>
    </row>
    <row r="12">
      <c r="A12" s="16" t="inlineStr">
        <is>
          <t>limite</t>
        </is>
      </c>
      <c r="B12" s="23" t="n">
        <v>5</v>
      </c>
      <c r="C12" s="16" t="inlineStr">
        <is>
          <t>Prime is MetaTrader 5 only</t>
        </is>
      </c>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Does FundingPips offer MetaTrader 4?</t>
        </is>
      </c>
      <c r="C3" s="16" t="inlineStr">
        <is>
          <t>No. The supported platforms are MetaTrader 5, cTrader and Match-Trader.</t>
        </is>
      </c>
    </row>
    <row r="4">
      <c r="A4" s="23" t="n">
        <v>2</v>
      </c>
      <c r="B4" s="16" t="inlineStr">
        <is>
          <t>Can I hold positions overnight or over the weekend?</t>
        </is>
      </c>
      <c r="C4" s="16" t="inlineStr">
        <is>
          <t>Yes during the standard evaluations. On a Master account, overnight and weekend holding need the swing add-on; without it, positions close automatically. Zero never allows weekend holding.</t>
        </is>
      </c>
    </row>
    <row r="5">
      <c r="A5" s="23" t="n">
        <v>3</v>
      </c>
      <c r="B5" s="16" t="inlineStr">
        <is>
          <t>Is news trading allowed?</t>
        </is>
      </c>
      <c r="C5" s="16" t="inlineStr">
        <is>
          <t>The standard evaluations set no technical window, but deliberately trading a release is not allowed. On a Master account, profit taken by opening or closing near a release can be removed. Zero forbids opening, closing or holding in the ten minutes either side.</t>
        </is>
      </c>
    </row>
    <row r="6">
      <c r="A6" s="23" t="n">
        <v>4</v>
      </c>
      <c r="B6" s="16" t="inlineStr">
        <is>
          <t>Which instruments can I trade?</t>
        </is>
      </c>
      <c r="C6" s="16" t="inlineStr">
        <is>
          <t>FundingPips publishes 41 simulated CFDs: 28 forex pairs, two metals, seven cash indices, two energies and two cryptocurrencies.</t>
        </is>
      </c>
    </row>
    <row r="7">
      <c r="A7" s="23" t="n">
        <v>5</v>
      </c>
      <c r="B7" s="16" t="inlineStr">
        <is>
          <t>Which model is the most forgiving?</t>
        </is>
      </c>
      <c r="C7" s="16" t="inlineStr">
        <is>
          <t>The 2-Step Standard has the most conventional daily and overall limits. The 1-Step Flex and 2-Step Flex allow 12% of drawdown but add other constraints, so the answer depends on your phase, your reward cycle and your style.</t>
        </is>
      </c>
    </row>
    <row r="8">
      <c r="A8" s="23" t="n">
        <v>6</v>
      </c>
      <c r="B8" s="16" t="inlineStr">
        <is>
          <t>Is there instant funding?</t>
        </is>
      </c>
      <c r="C8" s="16" t="inlineStr">
        <is>
          <t>Yes, with Zero. There is no evaluation, but the risk, consistency, news and weekend rules are the strictest of the range.</t>
        </is>
      </c>
    </row>
    <row r="9">
      <c r="A9" s="23" t="n">
        <v>7</v>
      </c>
      <c r="B9" s="16" t="inlineStr">
        <is>
          <t>How long does a reward take?</t>
        </is>
      </c>
      <c r="C9" s="16" t="inlineStr">
        <is>
          <t>FundingPips announces one to three working days of processing, then whatever your card, bank or provider adds.</t>
        </is>
      </c>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limited_offer</t>
        </is>
      </c>
      <c r="J4" s="11" t="inlineStr">
        <is>
          <t>evaluation_3</t>
        </is>
      </c>
      <c r="K4" s="11" t="inlineStr">
        <is>
          <t>Trailing Intraday</t>
        </is>
      </c>
      <c r="L4" s="11" t="inlineStr">
        <is>
          <t>GBP</t>
        </is>
      </c>
      <c r="M4" s="11" t="inlineStr">
        <is>
          <t>non_confirmee</t>
        </is>
      </c>
      <c r="O4" s="11" t="inlineStr">
        <is>
          <t>limite</t>
        </is>
      </c>
      <c r="P4" s="11" t="inlineStr">
        <is>
          <t>live</t>
        </is>
      </c>
      <c r="Q4" s="11" t="inlineStr">
        <is>
          <t>evaluation_3</t>
        </is>
      </c>
    </row>
    <row r="5">
      <c r="A5" s="11" t="inlineStr">
        <is>
          <t>needs_confirmation</t>
        </is>
      </c>
      <c r="F5" t="inlineStr">
        <is>
          <t>certification</t>
        </is>
      </c>
      <c r="G5" s="11" t="inlineStr">
        <is>
          <t>crypto</t>
        </is>
      </c>
      <c r="I5" t="inlineStr">
        <is>
          <t>retired</t>
        </is>
      </c>
      <c r="J5" t="inlineStr">
        <is>
          <t>funded</t>
        </is>
      </c>
      <c r="K5" s="11" t="inlineStr">
        <is>
          <t>Static</t>
        </is>
      </c>
      <c r="Q5" t="inlineStr">
        <is>
          <t>funded</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2026-09-29T14:18:10Z</dcterms:modified>
</cp:coreProperties>
</file>