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inlineStr">
        <is>
          <t>blueberry-funded</t>
        </is>
      </c>
      <c r="C2" s="17" t="inlineStr">
        <is>
          <t>futureselite</t>
        </is>
      </c>
      <c r="D2" s="18" t="inlineStr">
        <is>
          <t>N'est pas affiche : sert a l'adresse de la page et au lien sortant. Minuscules, sans espace. Obligatoire.</t>
        </is>
      </c>
    </row>
    <row r="3" ht="44" customHeight="1">
      <c r="A3" s="15" t="inlineStr">
        <is>
          <t>nom</t>
        </is>
      </c>
      <c r="B3" s="16" t="inlineStr">
        <is>
          <t>Blueberry Funded</t>
        </is>
      </c>
      <c r="C3" s="17" t="inlineStr">
        <is>
          <t>FuturesElite</t>
        </is>
      </c>
      <c r="D3" s="18" t="inlineStr">
        <is>
          <t>Le titre de la carte d'identite, « Continue to [Firm] », le verdict et la FAQ. Obligatoire.</t>
        </is>
      </c>
    </row>
    <row r="4" ht="44" customHeight="1">
      <c r="A4" s="15" t="inlineStr">
        <is>
          <t>logo_url</t>
        </is>
      </c>
      <c r="B4" s="16" t="inlineStr">
        <is>
          <t>https://blueberryfunded.com/favicon.ico</t>
        </is>
      </c>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inlineStr">
        <is>
          <t>https://www.trustpilot.com/review/blueberryfunded.com</t>
        </is>
      </c>
      <c r="C7" s="17" t="inlineStr">
        <is>
          <t>https://www.trustpilot.com/review/exemple.com</t>
        </is>
      </c>
      <c r="D7" s="18" t="inlineStr">
        <is>
          <t>Page Trustpilot de la firme : le badge y renvoie. Vide : badge non cliquable.</t>
        </is>
      </c>
    </row>
    <row r="8" ht="44" customHeight="1">
      <c r="A8" s="15" t="inlineStr">
        <is>
          <t>marches</t>
        </is>
      </c>
      <c r="B8" s="16" t="inlineStr">
        <is>
          <t>cfd</t>
        </is>
      </c>
      <c r="C8" s="17" t="inlineStr">
        <is>
          <t>futures</t>
        </is>
      </c>
      <c r="D8" s="18" t="inlineStr">
        <is>
          <t>« Firm type » (deduit d'ici) et le choix du marche dans le configurateur. futures, cfd — separes par une virgule si plusieurs.</t>
        </is>
      </c>
    </row>
    <row r="9" ht="44" customHeight="1">
      <c r="A9" s="15" t="inlineStr">
        <is>
          <t>titre</t>
        </is>
      </c>
      <c r="B9" s="16" t="inlineStr">
        <is>
          <t>Six ways to reach a simulated funded CFD account</t>
        </is>
      </c>
      <c r="C9" s="17" t="inlineStr">
        <is>
          <t>Four routes to a funded futures account</t>
        </is>
      </c>
      <c r="D9" s="18" t="inlineStr">
        <is>
          <t>Nouvelle page : le H1, une proposition de valeur. Vide : le nom de la firme sert de H1.</t>
        </is>
      </c>
    </row>
    <row r="10" ht="44" customHeight="1">
      <c r="A10" s="15" t="inlineStr">
        <is>
          <t>description</t>
        </is>
      </c>
      <c r="B10" s="16" t="inlineStr">
        <is>
          <t>Blueberry Funded belongs to the Blueberry Markets group and sells six routes: two instant-funding accounts and four evaluations, from $1,250 to $200,000. The rules are not shared across the range — drawdown, news window, weekend holding and payout conditions all depend on the route you pick.</t>
        </is>
      </c>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inlineStr">
        <is>
          <t>Blueberry Funded launched in August 2024. The contracting entity is Blueberry Markets (SVG) LLC, registered in Saint Vincent and the Grenadines under number 2090 LLC 2022, and the group behind it is the broker Blueberry Markets.
Every account is simulated: no real capital is handed to the trader, and the rewards are paid on simulated profits.
The catalogue holds 36 buyable combinations across six programs. Prime is the two-step route, and the most permissive one on concentration and position size. Flex pays 85% and gives 12% of static drawdown, in exchange for a 1% limit per trade idea, a five-minute news window and no weekend holding. The two Instant accounts skip the evaluation, with a trailing drawdown that locks at the starting balance.</t>
        </is>
      </c>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v>2024</v>
      </c>
      <c r="C13" s="24" t="n">
        <v>2024</v>
      </c>
      <c r="D13" s="18" t="inlineStr">
        <is>
          <t>« Founded ». Vide : « — ».</t>
        </is>
      </c>
    </row>
    <row r="14" ht="44" customHeight="1">
      <c r="A14" s="15" t="inlineStr">
        <is>
          <t>pays</t>
        </is>
      </c>
      <c r="B14" s="16" t="inlineStr">
        <is>
          <t>Saint Vincent and the Grenadines</t>
        </is>
      </c>
      <c r="C14" s="17" t="inlineStr">
        <is>
          <t>Italy</t>
        </is>
      </c>
      <c r="D14" s="18" t="inlineStr">
        <is>
          <t>« Country ».</t>
        </is>
      </c>
    </row>
    <row r="15" ht="44" customHeight="1">
      <c r="A15" s="15" t="inlineStr">
        <is>
          <t>ceo_fondateur</t>
        </is>
      </c>
      <c r="B15" s="16" t="inlineStr">
        <is>
          <t>Dean Hyde</t>
        </is>
      </c>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inlineStr">
        <is>
          <t>Forex, Indices, Metals, Energies, Crypto, Synthetic indices</t>
        </is>
      </c>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inlineStr">
        <is>
          <t>confirmed</t>
        </is>
      </c>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inlineStr">
        <is>
          <t>Crypto, Rise, Transfer to a Blueberry Markets account</t>
        </is>
      </c>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inlineStr">
        <is>
          <t>Day trading, Swing</t>
        </is>
      </c>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Six current routes</t>
        </is>
      </c>
      <c r="C3" s="17" t="inlineStr">
        <is>
          <t>36 buyable combinations, from $1,250 to $200,000.</t>
        </is>
      </c>
    </row>
    <row r="4">
      <c r="A4" s="24" t="n">
        <v>2</v>
      </c>
      <c r="B4" s="17" t="inlineStr">
        <is>
          <t>Broker group behind it</t>
        </is>
      </c>
      <c r="C4" s="17" t="inlineStr">
        <is>
          <t>Blueberry Funded belongs to the Blueberry Markets group.</t>
        </is>
      </c>
    </row>
    <row r="5">
      <c r="A5" s="23" t="n">
        <v>3</v>
      </c>
      <c r="B5" s="16" t="inlineStr">
        <is>
          <t>No deadline</t>
        </is>
      </c>
      <c r="C5" s="16" t="inlineStr">
        <is>
          <t>None of the current evaluations expires.</t>
        </is>
      </c>
    </row>
    <row r="6">
      <c r="A6" s="23" t="n">
        <v>4</v>
      </c>
      <c r="B6" s="16" t="inlineStr">
        <is>
          <t>Rules differ by route</t>
        </is>
      </c>
      <c r="C6" s="16" t="inlineStr">
        <is>
          <t>Drawdown, news, weekend holding and payouts depend on the program.</t>
        </is>
      </c>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MetaTrader 5</t>
        </is>
      </c>
      <c r="B3" s="17" t="inlineStr">
        <is>
          <t>oui</t>
        </is>
      </c>
      <c r="C3" s="17" t="inlineStr">
        <is>
          <t>Proposee sur les six programmes.</t>
        </is>
      </c>
      <c r="D3" t="inlineStr">
        <is>
          <t>https://www.metatrader5.com/i/favicons/apple-touch-icon-180x180.png</t>
        </is>
      </c>
    </row>
    <row r="4">
      <c r="A4" s="17" t="inlineStr">
        <is>
          <t>TradeLocker</t>
        </is>
      </c>
      <c r="B4" s="17" t="inlineStr">
        <is>
          <t>oui</t>
        </is>
      </c>
      <c r="C4" s="17" t="inlineStr">
        <is>
          <t>Sur tous les programmes sauf Synthetic.</t>
        </is>
      </c>
      <c r="D4" t="inlineStr">
        <is>
          <t>https://tradelocker.com/wp-content/uploads/2023/04/cropped-Icon-3-180x180.png</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M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c r="L1" s="14" t="inlineStr">
        <is>
          <t>offre_fin</t>
        </is>
      </c>
      <c r="M1" s="14" t="inlineStr">
        <is>
          <t>offre_fin_statut</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c r="L2" s="25" t="inlineStr">
        <is>
          <t>Campagne a duree limitee : sa date de fin. Vide si le programme est permanent.</t>
        </is>
      </c>
      <c r="M2" s="25" t="inlineStr">
        <is>
          <t>confirmed si la date est publiee. Sinon not_published, needs_confirmation ou source_conflict.</t>
        </is>
      </c>
    </row>
    <row r="3">
      <c r="A3" s="17" t="inlineStr">
        <is>
          <t>prime</t>
        </is>
      </c>
      <c r="B3" s="17" t="inlineStr">
        <is>
          <t>Prime</t>
        </is>
      </c>
      <c r="C3" s="17" t="inlineStr">
        <is>
          <t>cfd</t>
        </is>
      </c>
      <c r="D3" s="17" t="inlineStr">
        <is>
          <t>evaluation</t>
        </is>
      </c>
      <c r="E3" s="17" t="inlineStr">
        <is>
          <t>active</t>
        </is>
      </c>
      <c r="F3" s="17" t="inlineStr">
        <is>
          <t>Two steps, the fewest restrictions</t>
        </is>
      </c>
      <c r="G3" s="17" t="inlineStr">
        <is>
          <t>8% then 6%, a 10% static loss limit and no deadline. No consistency rule, no lot size limit and no per-idea risk limit — the most permissive route of the range.</t>
        </is>
      </c>
      <c r="H3" s="24" t="n"/>
      <c r="I3" s="17" t="n"/>
      <c r="J3" s="17" t="n"/>
      <c r="K3" s="26">
        <f>IF(A3="","",COUNTIF(Plans!$A$3:$A$300,A3))</f>
        <v/>
      </c>
    </row>
    <row r="4">
      <c r="A4" s="16" t="inlineStr">
        <is>
          <t>flex-1-step</t>
        </is>
      </c>
      <c r="B4" s="16" t="inlineStr">
        <is>
          <t>Flex 1 Step</t>
        </is>
      </c>
      <c r="C4" s="16" t="inlineStr">
        <is>
          <t>cfd</t>
        </is>
      </c>
      <c r="D4" s="16" t="inlineStr">
        <is>
          <t>evaluation</t>
        </is>
      </c>
      <c r="E4" s="16" t="inlineStr">
        <is>
          <t>active</t>
        </is>
      </c>
      <c r="F4" s="16" t="inlineStr">
        <is>
          <t>One step, 85% split</t>
        </is>
      </c>
      <c r="G4" s="16" t="inlineStr">
        <is>
          <t>A 12% target against 12% of static drawdown, the most comfortable ratio here, and the best split. In exchange: 1% per trade idea, a five-minute news window with cumulative strikes, and no weekend holding.</t>
        </is>
      </c>
      <c r="H4" s="23" t="n"/>
      <c r="I4" s="16" t="n"/>
      <c r="J4" s="16" t="n"/>
      <c r="K4" s="26">
        <f>IF(A4="","",COUNTIF(Plans!$A$3:$A$300,A4))</f>
        <v/>
      </c>
    </row>
    <row r="5">
      <c r="A5" s="16" t="inlineStr">
        <is>
          <t>1-step</t>
        </is>
      </c>
      <c r="B5" s="16" t="inlineStr">
        <is>
          <t>1 Step</t>
        </is>
      </c>
      <c r="C5" s="16" t="inlineStr">
        <is>
          <t>cfd</t>
        </is>
      </c>
      <c r="D5" s="16" t="inlineStr">
        <is>
          <t>evaluation</t>
        </is>
      </c>
      <c r="E5" s="16" t="inlineStr">
        <is>
          <t>active</t>
        </is>
      </c>
      <c r="F5" s="16" t="inlineStr">
        <is>
          <t>One step, tight drawdown</t>
        </is>
      </c>
      <c r="G5" s="16" t="inlineStr">
        <is>
          <t>A 10% target with only 6% of static drawdown and three active days. Once funded, the 1.5% limit per trade idea applies.</t>
        </is>
      </c>
      <c r="H5" s="23" t="n"/>
      <c r="I5" s="16" t="n"/>
      <c r="J5" s="16" t="n"/>
      <c r="K5" s="26">
        <f>IF(A5="","",COUNTIF(Plans!$A$3:$A$300,A5))</f>
        <v/>
      </c>
    </row>
    <row r="6">
      <c r="A6" s="16" t="inlineStr">
        <is>
          <t>synthetic</t>
        </is>
      </c>
      <c r="B6" s="16" t="inlineStr">
        <is>
          <t>Synthetic</t>
        </is>
      </c>
      <c r="C6" s="16" t="inlineStr">
        <is>
          <t>cfd</t>
        </is>
      </c>
      <c r="D6" s="16" t="inlineStr">
        <is>
          <t>evaluation</t>
        </is>
      </c>
      <c r="E6" s="16" t="inlineStr">
        <is>
          <t>active</t>
        </is>
      </c>
      <c r="F6" s="16" t="inlineStr">
        <is>
          <t>Synthetic indices, cheapest entry</t>
        </is>
      </c>
      <c r="G6" s="16" t="inlineStr">
        <is>
          <t>Two steps on synthetic indices, which trade around the clock. MetaTrader 5 only, no expert advisors, and a 30% consistency rule once funded.</t>
        </is>
      </c>
      <c r="H6" s="23" t="n"/>
      <c r="I6" s="16" t="n"/>
      <c r="J6" s="16" t="n"/>
      <c r="K6" s="26">
        <f>IF(A6="","",COUNTIF(Plans!$A$3:$A$300,A6))</f>
        <v/>
      </c>
    </row>
    <row r="7">
      <c r="A7" s="16" t="inlineStr">
        <is>
          <t>instant-elite</t>
        </is>
      </c>
      <c r="B7" s="16" t="inlineStr">
        <is>
          <t>Instant Elite</t>
        </is>
      </c>
      <c r="C7" s="16" t="inlineStr">
        <is>
          <t>cfd</t>
        </is>
      </c>
      <c r="D7" s="16" t="inlineStr">
        <is>
          <t>instant</t>
        </is>
      </c>
      <c r="E7" s="16" t="inlineStr">
        <is>
          <t>active</t>
        </is>
      </c>
      <c r="F7" s="16" t="inlineStr">
        <is>
          <t>Funded from purchase, no daily loss</t>
        </is>
      </c>
      <c r="G7" s="16" t="inlineStr">
        <is>
          <t>No evaluation, no profit target and no daily loss limit. A 10% trailing drawdown on equity, which locks at the starting balance once you are 10% up.</t>
        </is>
      </c>
      <c r="H7" s="23" t="n"/>
      <c r="I7" s="16" t="n"/>
      <c r="J7" s="16" t="n"/>
      <c r="K7" s="26">
        <f>IF(A7="","",COUNTIF(Plans!$A$3:$A$300,A7))</f>
        <v/>
      </c>
    </row>
    <row r="8">
      <c r="A8" s="16" t="inlineStr">
        <is>
          <t>instant-lite</t>
        </is>
      </c>
      <c r="B8" s="16" t="inlineStr">
        <is>
          <t>Instant Lite</t>
        </is>
      </c>
      <c r="C8" s="16" t="inlineStr">
        <is>
          <t>cfd</t>
        </is>
      </c>
      <c r="D8" s="16" t="inlineStr">
        <is>
          <t>instant</t>
        </is>
      </c>
      <c r="E8" s="16" t="inlineStr">
        <is>
          <t>active</t>
        </is>
      </c>
      <c r="F8" s="16" t="inlineStr">
        <is>
          <t>Funded from purchase, tightest rules</t>
        </is>
      </c>
      <c r="G8" s="16" t="inlineStr">
        <is>
          <t>The cheapest way in, with the tightest rules: 2% daily loss, 4% trailing drawdown, and a consistency rule that holds a payout until your best day falls under 15% of the profit.</t>
        </is>
      </c>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N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 width="9" customWidth="1" min="14" max="14"/>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c r="N1" s="14" t="inlineStr">
        <is>
          <t>devise_compte</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c r="N2" s="25" t="inlineStr">
        <is>
          <t>Devise du SOLDE du compte : la taille, l'objectif et les limites. Vide : la devise du prix. A remplir quand la firme facture dans une monnaie et libelle les comptes dans une autre.</t>
        </is>
      </c>
    </row>
    <row r="3">
      <c r="A3" s="17" t="inlineStr">
        <is>
          <t>prime</t>
        </is>
      </c>
      <c r="B3" s="22" t="n">
        <v>2500</v>
      </c>
      <c r="C3" s="17" t="n"/>
      <c r="D3" s="17" t="inlineStr">
        <is>
          <t>USD</t>
        </is>
      </c>
      <c r="E3" s="27" t="n">
        <v>37</v>
      </c>
      <c r="F3" s="17" t="n"/>
      <c r="G3" s="17" t="inlineStr">
        <is>
          <t>one_time</t>
        </is>
      </c>
      <c r="H3" s="17" t="n"/>
      <c r="I3" s="27" t="n">
        <v>26</v>
      </c>
      <c r="J3" s="27" t="n">
        <v>0</v>
      </c>
      <c r="K3" s="26">
        <f>IF(A3="","",SUMPRODUCT((Phases!$A$3:$A$900=A3)*(Phases!$B$3:$B$900=B3)*(Phases!$C$3:$C$900=C3)))</f>
        <v/>
      </c>
      <c r="L3" s="28">
        <f>IF(A3="","",IF(COUNTIF(Programmes!$A$3:$A$60,A3)=0,"programme inconnu",IF(K3=0,"aucune phase","ok")))</f>
        <v/>
      </c>
      <c r="N3" t="inlineStr">
        <is>
          <t>USD</t>
        </is>
      </c>
    </row>
    <row r="4">
      <c r="A4" s="16" t="inlineStr">
        <is>
          <t>prime</t>
        </is>
      </c>
      <c r="B4" s="21" t="n">
        <v>5000</v>
      </c>
      <c r="C4" s="16" t="n"/>
      <c r="D4" s="16" t="inlineStr">
        <is>
          <t>USD</t>
        </is>
      </c>
      <c r="E4" s="29" t="n">
        <v>69</v>
      </c>
      <c r="F4" s="16" t="n"/>
      <c r="G4" s="16" t="inlineStr">
        <is>
          <t>one_time</t>
        </is>
      </c>
      <c r="H4" s="16" t="n"/>
      <c r="I4" s="29" t="n">
        <v>48</v>
      </c>
      <c r="J4" s="29" t="n">
        <v>0</v>
      </c>
      <c r="K4" s="26">
        <f>IF(A4="","",SUMPRODUCT((Phases!$A$3:$A$900=A4)*(Phases!$B$3:$B$900=B4)*(Phases!$C$3:$C$900=C4)))</f>
        <v/>
      </c>
      <c r="L4" s="28">
        <f>IF(A4="","",IF(COUNTIF(Programmes!$A$3:$A$60,A4)=0,"programme inconnu",IF(K4=0,"aucune phase","ok")))</f>
        <v/>
      </c>
      <c r="N4" t="inlineStr">
        <is>
          <t>USD</t>
        </is>
      </c>
    </row>
    <row r="5">
      <c r="A5" s="16" t="inlineStr">
        <is>
          <t>prime</t>
        </is>
      </c>
      <c r="B5" s="21" t="n">
        <v>10000</v>
      </c>
      <c r="C5" s="16" t="n"/>
      <c r="D5" s="16" t="inlineStr">
        <is>
          <t>USD</t>
        </is>
      </c>
      <c r="E5" s="29" t="n">
        <v>112</v>
      </c>
      <c r="F5" s="16" t="n"/>
      <c r="G5" s="16" t="inlineStr">
        <is>
          <t>one_time</t>
        </is>
      </c>
      <c r="H5" s="16" t="n"/>
      <c r="I5" s="29" t="n">
        <v>78</v>
      </c>
      <c r="J5" s="29" t="n">
        <v>0</v>
      </c>
      <c r="K5" s="26">
        <f>IF(A5="","",SUMPRODUCT((Phases!$A$3:$A$900=A5)*(Phases!$B$3:$B$900=B5)*(Phases!$C$3:$C$900=C5)))</f>
        <v/>
      </c>
      <c r="L5" s="28">
        <f>IF(A5="","",IF(COUNTIF(Programmes!$A$3:$A$60,A5)=0,"programme inconnu",IF(K5=0,"aucune phase","ok")))</f>
        <v/>
      </c>
      <c r="N5" t="inlineStr">
        <is>
          <t>USD</t>
        </is>
      </c>
    </row>
    <row r="6">
      <c r="A6" s="16" t="inlineStr">
        <is>
          <t>prime</t>
        </is>
      </c>
      <c r="B6" s="21" t="n">
        <v>25000</v>
      </c>
      <c r="C6" s="16" t="n"/>
      <c r="D6" s="16" t="inlineStr">
        <is>
          <t>USD</t>
        </is>
      </c>
      <c r="E6" s="29" t="n">
        <v>206</v>
      </c>
      <c r="F6" s="16" t="n"/>
      <c r="G6" s="16" t="inlineStr">
        <is>
          <t>one_time</t>
        </is>
      </c>
      <c r="H6" s="16" t="n"/>
      <c r="I6" s="29" t="n">
        <v>145</v>
      </c>
      <c r="J6" s="29" t="n">
        <v>0</v>
      </c>
      <c r="K6" s="26">
        <f>IF(A6="","",SUMPRODUCT((Phases!$A$3:$A$900=A6)*(Phases!$B$3:$B$900=B6)*(Phases!$C$3:$C$900=C6)))</f>
        <v/>
      </c>
      <c r="L6" s="28">
        <f>IF(A6="","",IF(COUNTIF(Programmes!$A$3:$A$60,A6)=0,"programme inconnu",IF(K6=0,"aucune phase","ok")))</f>
        <v/>
      </c>
      <c r="N6" t="inlineStr">
        <is>
          <t>USD</t>
        </is>
      </c>
    </row>
    <row r="7">
      <c r="A7" s="16" t="inlineStr">
        <is>
          <t>prime</t>
        </is>
      </c>
      <c r="B7" s="21" t="n">
        <v>50000</v>
      </c>
      <c r="C7" s="16" t="n"/>
      <c r="D7" s="16" t="inlineStr">
        <is>
          <t>USD</t>
        </is>
      </c>
      <c r="E7" s="29" t="n">
        <v>406</v>
      </c>
      <c r="F7" s="16" t="n"/>
      <c r="G7" s="16" t="inlineStr">
        <is>
          <t>one_time</t>
        </is>
      </c>
      <c r="H7" s="16" t="n"/>
      <c r="I7" s="29" t="n">
        <v>285</v>
      </c>
      <c r="J7" s="29" t="n">
        <v>0</v>
      </c>
      <c r="K7" s="26">
        <f>IF(A7="","",SUMPRODUCT((Phases!$A$3:$A$900=A7)*(Phases!$B$3:$B$900=B7)*(Phases!$C$3:$C$900=C7)))</f>
        <v/>
      </c>
      <c r="L7" s="28">
        <f>IF(A7="","",IF(COUNTIF(Programmes!$A$3:$A$60,A7)=0,"programme inconnu",IF(K7=0,"aucune phase","ok")))</f>
        <v/>
      </c>
      <c r="N7" t="inlineStr">
        <is>
          <t>USD</t>
        </is>
      </c>
    </row>
    <row r="8">
      <c r="A8" s="16" t="inlineStr">
        <is>
          <t>prime</t>
        </is>
      </c>
      <c r="B8" s="21" t="n">
        <v>100000</v>
      </c>
      <c r="C8" s="16" t="n"/>
      <c r="D8" s="16" t="inlineStr">
        <is>
          <t>USD</t>
        </is>
      </c>
      <c r="E8" s="29" t="n">
        <v>812</v>
      </c>
      <c r="F8" s="16" t="inlineStr">
        <is>
          <t>oui</t>
        </is>
      </c>
      <c r="G8" s="16" t="inlineStr">
        <is>
          <t>one_time</t>
        </is>
      </c>
      <c r="H8" s="16" t="n"/>
      <c r="I8" s="29" t="n">
        <v>568</v>
      </c>
      <c r="J8" s="29" t="n">
        <v>0</v>
      </c>
      <c r="K8" s="26">
        <f>IF(A8="","",SUMPRODUCT((Phases!$A$3:$A$900=A8)*(Phases!$B$3:$B$900=B8)*(Phases!$C$3:$C$900=C8)))</f>
        <v/>
      </c>
      <c r="L8" s="28">
        <f>IF(A8="","",IF(COUNTIF(Programmes!$A$3:$A$60,A8)=0,"programme inconnu",IF(K8=0,"aucune phase","ok")))</f>
        <v/>
      </c>
      <c r="N8" t="inlineStr">
        <is>
          <t>USD</t>
        </is>
      </c>
    </row>
    <row r="9">
      <c r="A9" s="16" t="inlineStr">
        <is>
          <t>prime</t>
        </is>
      </c>
      <c r="B9" s="21" t="n">
        <v>200000</v>
      </c>
      <c r="C9" s="16" t="n"/>
      <c r="D9" s="16" t="inlineStr">
        <is>
          <t>USD</t>
        </is>
      </c>
      <c r="E9" s="29" t="n">
        <v>1462</v>
      </c>
      <c r="F9" s="16" t="n"/>
      <c r="G9" s="16" t="inlineStr">
        <is>
          <t>one_time</t>
        </is>
      </c>
      <c r="H9" s="16" t="n"/>
      <c r="I9" s="29" t="n">
        <v>1023</v>
      </c>
      <c r="J9" s="29" t="n">
        <v>0</v>
      </c>
      <c r="K9" s="26">
        <f>IF(A9="","",SUMPRODUCT((Phases!$A$3:$A$900=A9)*(Phases!$B$3:$B$900=B9)*(Phases!$C$3:$C$900=C9)))</f>
        <v/>
      </c>
      <c r="L9" s="28">
        <f>IF(A9="","",IF(COUNTIF(Programmes!$A$3:$A$60,A9)=0,"programme inconnu",IF(K9=0,"aucune phase","ok")))</f>
        <v/>
      </c>
      <c r="N9" t="inlineStr">
        <is>
          <t>USD</t>
        </is>
      </c>
    </row>
    <row r="10">
      <c r="A10" s="16" t="inlineStr">
        <is>
          <t>flex-1-step</t>
        </is>
      </c>
      <c r="B10" s="21" t="n">
        <v>5000</v>
      </c>
      <c r="C10" s="16" t="n"/>
      <c r="D10" s="16" t="inlineStr">
        <is>
          <t>USD</t>
        </is>
      </c>
      <c r="E10" s="29" t="n">
        <v>105</v>
      </c>
      <c r="F10" s="16" t="n"/>
      <c r="G10" s="16" t="inlineStr">
        <is>
          <t>one_time</t>
        </is>
      </c>
      <c r="H10" s="16" t="n"/>
      <c r="I10" s="29" t="n">
        <v>74</v>
      </c>
      <c r="J10" s="29" t="n">
        <v>0</v>
      </c>
      <c r="K10" s="26">
        <f>IF(A10="","",SUMPRODUCT((Phases!$A$3:$A$900=A10)*(Phases!$B$3:$B$900=B10)*(Phases!$C$3:$C$900=C10)))</f>
        <v/>
      </c>
      <c r="L10" s="28">
        <f>IF(A10="","",IF(COUNTIF(Programmes!$A$3:$A$60,A10)=0,"programme inconnu",IF(K10=0,"aucune phase","ok")))</f>
        <v/>
      </c>
      <c r="N10" t="inlineStr">
        <is>
          <t>USD</t>
        </is>
      </c>
    </row>
    <row r="11">
      <c r="A11" s="16" t="inlineStr">
        <is>
          <t>flex-1-step</t>
        </is>
      </c>
      <c r="B11" s="21" t="n">
        <v>10000</v>
      </c>
      <c r="C11" s="16" t="n"/>
      <c r="D11" s="16" t="inlineStr">
        <is>
          <t>USD</t>
        </is>
      </c>
      <c r="E11" s="29" t="n">
        <v>155</v>
      </c>
      <c r="F11" s="16" t="n"/>
      <c r="G11" s="16" t="inlineStr">
        <is>
          <t>one_time</t>
        </is>
      </c>
      <c r="H11" s="16" t="n"/>
      <c r="I11" s="29" t="n">
        <v>108</v>
      </c>
      <c r="J11" s="29" t="n">
        <v>0</v>
      </c>
      <c r="K11" s="26">
        <f>IF(A11="","",SUMPRODUCT((Phases!$A$3:$A$900=A11)*(Phases!$B$3:$B$900=B11)*(Phases!$C$3:$C$900=C11)))</f>
        <v/>
      </c>
      <c r="L11" s="28">
        <f>IF(A11="","",IF(COUNTIF(Programmes!$A$3:$A$60,A11)=0,"programme inconnu",IF(K11=0,"aucune phase","ok")))</f>
        <v/>
      </c>
      <c r="N11" t="inlineStr">
        <is>
          <t>USD</t>
        </is>
      </c>
    </row>
    <row r="12">
      <c r="A12" s="16" t="inlineStr">
        <is>
          <t>flex-1-step</t>
        </is>
      </c>
      <c r="B12" s="21" t="n">
        <v>25000</v>
      </c>
      <c r="C12" s="16" t="n"/>
      <c r="D12" s="16" t="inlineStr">
        <is>
          <t>USD</t>
        </is>
      </c>
      <c r="E12" s="29" t="n">
        <v>330</v>
      </c>
      <c r="F12" s="16" t="n"/>
      <c r="G12" s="16" t="inlineStr">
        <is>
          <t>one_time</t>
        </is>
      </c>
      <c r="H12" s="16" t="n"/>
      <c r="I12" s="29" t="n">
        <v>231</v>
      </c>
      <c r="J12" s="29" t="n">
        <v>0</v>
      </c>
      <c r="K12" s="26">
        <f>IF(A12="","",SUMPRODUCT((Phases!$A$3:$A$900=A12)*(Phases!$B$3:$B$900=B12)*(Phases!$C$3:$C$900=C12)))</f>
        <v/>
      </c>
      <c r="L12" s="28">
        <f>IF(A12="","",IF(COUNTIF(Programmes!$A$3:$A$60,A12)=0,"programme inconnu",IF(K12=0,"aucune phase","ok")))</f>
        <v/>
      </c>
      <c r="N12" t="inlineStr">
        <is>
          <t>USD</t>
        </is>
      </c>
    </row>
    <row r="13">
      <c r="A13" s="16" t="inlineStr">
        <is>
          <t>flex-1-step</t>
        </is>
      </c>
      <c r="B13" s="21" t="n">
        <v>50000</v>
      </c>
      <c r="C13" s="16" t="n"/>
      <c r="D13" s="16" t="inlineStr">
        <is>
          <t>USD</t>
        </is>
      </c>
      <c r="E13" s="29" t="n">
        <v>490</v>
      </c>
      <c r="F13" s="16" t="n"/>
      <c r="G13" s="16" t="inlineStr">
        <is>
          <t>one_time</t>
        </is>
      </c>
      <c r="H13" s="16" t="n"/>
      <c r="I13" s="29" t="n">
        <v>343</v>
      </c>
      <c r="J13" s="29" t="n">
        <v>0</v>
      </c>
      <c r="K13" s="26">
        <f>IF(A13="","",SUMPRODUCT((Phases!$A$3:$A$900=A13)*(Phases!$B$3:$B$900=B13)*(Phases!$C$3:$C$900=C13)))</f>
        <v/>
      </c>
      <c r="L13" s="28">
        <f>IF(A13="","",IF(COUNTIF(Programmes!$A$3:$A$60,A13)=0,"programme inconnu",IF(K13=0,"aucune phase","ok")))</f>
        <v/>
      </c>
      <c r="N13" t="inlineStr">
        <is>
          <t>USD</t>
        </is>
      </c>
    </row>
    <row r="14">
      <c r="A14" s="16" t="inlineStr">
        <is>
          <t>flex-1-step</t>
        </is>
      </c>
      <c r="B14" s="21" t="n">
        <v>100000</v>
      </c>
      <c r="C14" s="16" t="n"/>
      <c r="D14" s="16" t="inlineStr">
        <is>
          <t>USD</t>
        </is>
      </c>
      <c r="E14" s="29" t="n">
        <v>835</v>
      </c>
      <c r="F14" s="16" t="n"/>
      <c r="G14" s="16" t="inlineStr">
        <is>
          <t>one_time</t>
        </is>
      </c>
      <c r="H14" s="16" t="n"/>
      <c r="I14" s="29" t="n">
        <v>585</v>
      </c>
      <c r="J14" s="29" t="n">
        <v>0</v>
      </c>
      <c r="K14" s="26">
        <f>IF(A14="","",SUMPRODUCT((Phases!$A$3:$A$900=A14)*(Phases!$B$3:$B$900=B14)*(Phases!$C$3:$C$900=C14)))</f>
        <v/>
      </c>
      <c r="L14" s="28">
        <f>IF(A14="","",IF(COUNTIF(Programmes!$A$3:$A$60,A14)=0,"programme inconnu",IF(K14=0,"aucune phase","ok")))</f>
        <v/>
      </c>
      <c r="N14" t="inlineStr">
        <is>
          <t>USD</t>
        </is>
      </c>
    </row>
    <row r="15">
      <c r="A15" s="16" t="inlineStr">
        <is>
          <t>1-step</t>
        </is>
      </c>
      <c r="B15" s="21" t="n">
        <v>5000</v>
      </c>
      <c r="C15" s="16" t="n"/>
      <c r="D15" s="16" t="inlineStr">
        <is>
          <t>USD</t>
        </is>
      </c>
      <c r="E15" s="29" t="n">
        <v>44</v>
      </c>
      <c r="F15" s="16" t="n"/>
      <c r="G15" s="16" t="inlineStr">
        <is>
          <t>one_time</t>
        </is>
      </c>
      <c r="H15" s="16" t="n"/>
      <c r="I15" s="29" t="n">
        <v>31</v>
      </c>
      <c r="J15" s="29" t="n">
        <v>0</v>
      </c>
      <c r="K15" s="26">
        <f>IF(A15="","",SUMPRODUCT((Phases!$A$3:$A$900=A15)*(Phases!$B$3:$B$900=B15)*(Phases!$C$3:$C$900=C15)))</f>
        <v/>
      </c>
      <c r="L15" s="28">
        <f>IF(A15="","",IF(COUNTIF(Programmes!$A$3:$A$60,A15)=0,"programme inconnu",IF(K15=0,"aucune phase","ok")))</f>
        <v/>
      </c>
      <c r="N15" t="inlineStr">
        <is>
          <t>USD</t>
        </is>
      </c>
    </row>
    <row r="16">
      <c r="A16" s="16" t="inlineStr">
        <is>
          <t>1-step</t>
        </is>
      </c>
      <c r="B16" s="21" t="n">
        <v>10000</v>
      </c>
      <c r="C16" s="16" t="n"/>
      <c r="D16" s="16" t="inlineStr">
        <is>
          <t>USD</t>
        </is>
      </c>
      <c r="E16" s="29" t="n">
        <v>82.5</v>
      </c>
      <c r="F16" s="16" t="n"/>
      <c r="G16" s="16" t="inlineStr">
        <is>
          <t>one_time</t>
        </is>
      </c>
      <c r="H16" s="16" t="n"/>
      <c r="I16" s="29" t="n">
        <v>58</v>
      </c>
      <c r="J16" s="29" t="n">
        <v>0</v>
      </c>
      <c r="K16" s="26">
        <f>IF(A16="","",SUMPRODUCT((Phases!$A$3:$A$900=A16)*(Phases!$B$3:$B$900=B16)*(Phases!$C$3:$C$900=C16)))</f>
        <v/>
      </c>
      <c r="L16" s="28">
        <f>IF(A16="","",IF(COUNTIF(Programmes!$A$3:$A$60,A16)=0,"programme inconnu",IF(K16=0,"aucune phase","ok")))</f>
        <v/>
      </c>
      <c r="N16" t="inlineStr">
        <is>
          <t>USD</t>
        </is>
      </c>
    </row>
    <row r="17">
      <c r="A17" s="16" t="inlineStr">
        <is>
          <t>1-step</t>
        </is>
      </c>
      <c r="B17" s="21" t="n">
        <v>25000</v>
      </c>
      <c r="C17" s="16" t="n"/>
      <c r="D17" s="16" t="inlineStr">
        <is>
          <t>USD</t>
        </is>
      </c>
      <c r="E17" s="29" t="n">
        <v>165</v>
      </c>
      <c r="F17" s="16" t="n"/>
      <c r="G17" s="16" t="inlineStr">
        <is>
          <t>one_time</t>
        </is>
      </c>
      <c r="H17" s="16" t="n"/>
      <c r="I17" s="29" t="n">
        <v>116</v>
      </c>
      <c r="J17" s="29" t="n">
        <v>0</v>
      </c>
      <c r="K17" s="26">
        <f>IF(A17="","",SUMPRODUCT((Phases!$A$3:$A$900=A17)*(Phases!$B$3:$B$900=B17)*(Phases!$C$3:$C$900=C17)))</f>
        <v/>
      </c>
      <c r="L17" s="28">
        <f>IF(A17="","",IF(COUNTIF(Programmes!$A$3:$A$60,A17)=0,"programme inconnu",IF(K17=0,"aucune phase","ok")))</f>
        <v/>
      </c>
      <c r="N17" t="inlineStr">
        <is>
          <t>USD</t>
        </is>
      </c>
    </row>
    <row r="18">
      <c r="A18" s="16" t="inlineStr">
        <is>
          <t>1-step</t>
        </is>
      </c>
      <c r="B18" s="21" t="n">
        <v>50000</v>
      </c>
      <c r="C18" s="16" t="n"/>
      <c r="D18" s="16" t="inlineStr">
        <is>
          <t>USD</t>
        </is>
      </c>
      <c r="E18" s="29" t="n">
        <v>302.5</v>
      </c>
      <c r="F18" s="16" t="n"/>
      <c r="G18" s="16" t="inlineStr">
        <is>
          <t>one_time</t>
        </is>
      </c>
      <c r="H18" s="16" t="n"/>
      <c r="I18" s="29" t="n">
        <v>211</v>
      </c>
      <c r="J18" s="29" t="n">
        <v>0</v>
      </c>
      <c r="K18" s="26">
        <f>IF(A18="","",SUMPRODUCT((Phases!$A$3:$A$900=A18)*(Phases!$B$3:$B$900=B18)*(Phases!$C$3:$C$900=C18)))</f>
        <v/>
      </c>
      <c r="L18" s="28">
        <f>IF(A18="","",IF(COUNTIF(Programmes!$A$3:$A$60,A18)=0,"programme inconnu",IF(K18=0,"aucune phase","ok")))</f>
        <v/>
      </c>
      <c r="N18" t="inlineStr">
        <is>
          <t>USD</t>
        </is>
      </c>
    </row>
    <row r="19">
      <c r="A19" s="16" t="inlineStr">
        <is>
          <t>1-step</t>
        </is>
      </c>
      <c r="B19" s="21" t="n">
        <v>100000</v>
      </c>
      <c r="C19" s="16" t="n"/>
      <c r="D19" s="16" t="inlineStr">
        <is>
          <t>USD</t>
        </is>
      </c>
      <c r="E19" s="29" t="n">
        <v>605</v>
      </c>
      <c r="F19" s="16" t="n"/>
      <c r="G19" s="16" t="inlineStr">
        <is>
          <t>one_time</t>
        </is>
      </c>
      <c r="H19" s="16" t="n"/>
      <c r="I19" s="29" t="n">
        <v>424</v>
      </c>
      <c r="J19" s="29" t="n">
        <v>0</v>
      </c>
      <c r="K19" s="26">
        <f>IF(A19="","",SUMPRODUCT((Phases!$A$3:$A$900=A19)*(Phases!$B$3:$B$900=B19)*(Phases!$C$3:$C$900=C19)))</f>
        <v/>
      </c>
      <c r="L19" s="28">
        <f>IF(A19="","",IF(COUNTIF(Programmes!$A$3:$A$60,A19)=0,"programme inconnu",IF(K19=0,"aucune phase","ok")))</f>
        <v/>
      </c>
      <c r="N19" t="inlineStr">
        <is>
          <t>USD</t>
        </is>
      </c>
    </row>
    <row r="20">
      <c r="A20" s="16" t="inlineStr">
        <is>
          <t>1-step</t>
        </is>
      </c>
      <c r="B20" s="21" t="n">
        <v>200000</v>
      </c>
      <c r="C20" s="16" t="n"/>
      <c r="D20" s="16" t="inlineStr">
        <is>
          <t>USD</t>
        </is>
      </c>
      <c r="E20" s="29" t="n">
        <v>1210</v>
      </c>
      <c r="F20" s="16" t="n"/>
      <c r="G20" s="16" t="inlineStr">
        <is>
          <t>one_time</t>
        </is>
      </c>
      <c r="H20" s="16" t="n"/>
      <c r="I20" s="29" t="n">
        <v>847</v>
      </c>
      <c r="J20" s="29" t="n">
        <v>0</v>
      </c>
      <c r="K20" s="26">
        <f>IF(A20="","",SUMPRODUCT((Phases!$A$3:$A$900=A20)*(Phases!$B$3:$B$900=B20)*(Phases!$C$3:$C$900=C20)))</f>
        <v/>
      </c>
      <c r="L20" s="28">
        <f>IF(A20="","",IF(COUNTIF(Programmes!$A$3:$A$60,A20)=0,"programme inconnu",IF(K20=0,"aucune phase","ok")))</f>
        <v/>
      </c>
      <c r="N20" t="inlineStr">
        <is>
          <t>USD</t>
        </is>
      </c>
    </row>
    <row r="21">
      <c r="A21" s="16" t="inlineStr">
        <is>
          <t>synthetic</t>
        </is>
      </c>
      <c r="B21" s="21" t="n">
        <v>5000</v>
      </c>
      <c r="C21" s="16" t="n"/>
      <c r="D21" s="16" t="inlineStr">
        <is>
          <t>USD</t>
        </is>
      </c>
      <c r="E21" s="29" t="n">
        <v>25</v>
      </c>
      <c r="F21" s="16" t="n"/>
      <c r="G21" s="16" t="inlineStr">
        <is>
          <t>one_time</t>
        </is>
      </c>
      <c r="H21" s="16" t="n"/>
      <c r="I21" s="29" t="n"/>
      <c r="J21" s="29" t="n">
        <v>0</v>
      </c>
      <c r="K21" s="26">
        <f>IF(A21="","",SUMPRODUCT((Phases!$A$3:$A$900=A21)*(Phases!$B$3:$B$900=B21)*(Phases!$C$3:$C$900=C21)))</f>
        <v/>
      </c>
      <c r="L21" s="28">
        <f>IF(A21="","",IF(COUNTIF(Programmes!$A$3:$A$60,A21)=0,"programme inconnu",IF(K21=0,"aucune phase","ok")))</f>
        <v/>
      </c>
      <c r="N21" t="inlineStr">
        <is>
          <t>USD</t>
        </is>
      </c>
    </row>
    <row r="22">
      <c r="A22" s="16" t="inlineStr">
        <is>
          <t>synthetic</t>
        </is>
      </c>
      <c r="B22" s="21" t="n">
        <v>10000</v>
      </c>
      <c r="C22" s="16" t="n"/>
      <c r="D22" s="16" t="inlineStr">
        <is>
          <t>USD</t>
        </is>
      </c>
      <c r="E22" s="29" t="n">
        <v>50</v>
      </c>
      <c r="F22" s="16" t="n"/>
      <c r="G22" s="16" t="inlineStr">
        <is>
          <t>one_time</t>
        </is>
      </c>
      <c r="H22" s="16" t="n"/>
      <c r="I22" s="29" t="n"/>
      <c r="J22" s="29" t="n">
        <v>0</v>
      </c>
      <c r="K22" s="26">
        <f>IF(A22="","",SUMPRODUCT((Phases!$A$3:$A$900=A22)*(Phases!$B$3:$B$900=B22)*(Phases!$C$3:$C$900=C22)))</f>
        <v/>
      </c>
      <c r="L22" s="28">
        <f>IF(A22="","",IF(COUNTIF(Programmes!$A$3:$A$60,A22)=0,"programme inconnu",IF(K22=0,"aucune phase","ok")))</f>
        <v/>
      </c>
      <c r="N22" t="inlineStr">
        <is>
          <t>USD</t>
        </is>
      </c>
    </row>
    <row r="23">
      <c r="A23" s="16" t="inlineStr">
        <is>
          <t>synthetic</t>
        </is>
      </c>
      <c r="B23" s="21" t="n">
        <v>25000</v>
      </c>
      <c r="C23" s="16" t="n"/>
      <c r="D23" s="16" t="inlineStr">
        <is>
          <t>USD</t>
        </is>
      </c>
      <c r="E23" s="29" t="n">
        <v>115</v>
      </c>
      <c r="F23" s="16" t="n"/>
      <c r="G23" s="16" t="inlineStr">
        <is>
          <t>one_time</t>
        </is>
      </c>
      <c r="H23" s="16" t="n"/>
      <c r="I23" s="29" t="n"/>
      <c r="J23" s="29" t="n">
        <v>0</v>
      </c>
      <c r="K23" s="26">
        <f>IF(A23="","",SUMPRODUCT((Phases!$A$3:$A$900=A23)*(Phases!$B$3:$B$900=B23)*(Phases!$C$3:$C$900=C23)))</f>
        <v/>
      </c>
      <c r="L23" s="28">
        <f>IF(A23="","",IF(COUNTIF(Programmes!$A$3:$A$60,A23)=0,"programme inconnu",IF(K23=0,"aucune phase","ok")))</f>
        <v/>
      </c>
      <c r="N23" t="inlineStr">
        <is>
          <t>USD</t>
        </is>
      </c>
    </row>
    <row r="24">
      <c r="A24" s="16" t="inlineStr">
        <is>
          <t>synthetic</t>
        </is>
      </c>
      <c r="B24" s="21" t="n">
        <v>50000</v>
      </c>
      <c r="C24" s="16" t="n"/>
      <c r="D24" s="16" t="inlineStr">
        <is>
          <t>USD</t>
        </is>
      </c>
      <c r="E24" s="29" t="n">
        <v>225</v>
      </c>
      <c r="F24" s="16" t="n"/>
      <c r="G24" s="16" t="inlineStr">
        <is>
          <t>one_time</t>
        </is>
      </c>
      <c r="H24" s="16" t="n"/>
      <c r="I24" s="29" t="n"/>
      <c r="J24" s="29" t="n">
        <v>0</v>
      </c>
      <c r="K24" s="26">
        <f>IF(A24="","",SUMPRODUCT((Phases!$A$3:$A$900=A24)*(Phases!$B$3:$B$900=B24)*(Phases!$C$3:$C$900=C24)))</f>
        <v/>
      </c>
      <c r="L24" s="28">
        <f>IF(A24="","",IF(COUNTIF(Programmes!$A$3:$A$60,A24)=0,"programme inconnu",IF(K24=0,"aucune phase","ok")))</f>
        <v/>
      </c>
      <c r="N24" t="inlineStr">
        <is>
          <t>USD</t>
        </is>
      </c>
    </row>
    <row r="25">
      <c r="A25" s="16" t="inlineStr">
        <is>
          <t>synthetic</t>
        </is>
      </c>
      <c r="B25" s="21" t="n">
        <v>100000</v>
      </c>
      <c r="C25" s="16" t="n"/>
      <c r="D25" s="16" t="inlineStr">
        <is>
          <t>USD</t>
        </is>
      </c>
      <c r="E25" s="29" t="n">
        <v>450</v>
      </c>
      <c r="F25" s="16" t="n"/>
      <c r="G25" s="16" t="inlineStr">
        <is>
          <t>one_time</t>
        </is>
      </c>
      <c r="H25" s="16" t="n"/>
      <c r="I25" s="29" t="n"/>
      <c r="J25" s="29" t="n">
        <v>0</v>
      </c>
      <c r="K25" s="26">
        <f>IF(A25="","",SUMPRODUCT((Phases!$A$3:$A$900=A25)*(Phases!$B$3:$B$900=B25)*(Phases!$C$3:$C$900=C25)))</f>
        <v/>
      </c>
      <c r="L25" s="28">
        <f>IF(A25="","",IF(COUNTIF(Programmes!$A$3:$A$60,A25)=0,"programme inconnu",IF(K25=0,"aucune phase","ok")))</f>
        <v/>
      </c>
      <c r="N25" t="inlineStr">
        <is>
          <t>USD</t>
        </is>
      </c>
    </row>
    <row r="26">
      <c r="A26" s="16" t="inlineStr">
        <is>
          <t>instant-elite</t>
        </is>
      </c>
      <c r="B26" s="21" t="n">
        <v>2500</v>
      </c>
      <c r="C26" s="16" t="n"/>
      <c r="D26" s="16" t="inlineStr">
        <is>
          <t>USD</t>
        </is>
      </c>
      <c r="E26" s="29" t="n">
        <v>100</v>
      </c>
      <c r="F26" s="16" t="n"/>
      <c r="G26" s="16" t="inlineStr">
        <is>
          <t>one_time</t>
        </is>
      </c>
      <c r="H26" s="16" t="n"/>
      <c r="I26" s="29" t="n"/>
      <c r="J26" s="29" t="n">
        <v>0</v>
      </c>
      <c r="K26" s="26">
        <f>IF(A26="","",SUMPRODUCT((Phases!$A$3:$A$900=A26)*(Phases!$B$3:$B$900=B26)*(Phases!$C$3:$C$900=C26)))</f>
        <v/>
      </c>
      <c r="L26" s="28">
        <f>IF(A26="","",IF(COUNTIF(Programmes!$A$3:$A$60,A26)=0,"programme inconnu",IF(K26=0,"aucune phase","ok")))</f>
        <v/>
      </c>
      <c r="N26" t="inlineStr">
        <is>
          <t>USD</t>
        </is>
      </c>
    </row>
    <row r="27">
      <c r="A27" s="16" t="inlineStr">
        <is>
          <t>instant-elite</t>
        </is>
      </c>
      <c r="B27" s="21" t="n">
        <v>5000</v>
      </c>
      <c r="C27" s="16" t="n"/>
      <c r="D27" s="16" t="inlineStr">
        <is>
          <t>USD</t>
        </is>
      </c>
      <c r="E27" s="29" t="n">
        <v>200</v>
      </c>
      <c r="F27" s="16" t="n"/>
      <c r="G27" s="16" t="inlineStr">
        <is>
          <t>one_time</t>
        </is>
      </c>
      <c r="H27" s="16" t="n"/>
      <c r="I27" s="29" t="n"/>
      <c r="J27" s="29" t="n">
        <v>0</v>
      </c>
      <c r="K27" s="26">
        <f>IF(A27="","",SUMPRODUCT((Phases!$A$3:$A$900=A27)*(Phases!$B$3:$B$900=B27)*(Phases!$C$3:$C$900=C27)))</f>
        <v/>
      </c>
      <c r="L27" s="28">
        <f>IF(A27="","",IF(COUNTIF(Programmes!$A$3:$A$60,A27)=0,"programme inconnu",IF(K27=0,"aucune phase","ok")))</f>
        <v/>
      </c>
      <c r="N27" t="inlineStr">
        <is>
          <t>USD</t>
        </is>
      </c>
    </row>
    <row r="28">
      <c r="A28" s="16" t="inlineStr">
        <is>
          <t>instant-elite</t>
        </is>
      </c>
      <c r="B28" s="21" t="n">
        <v>10000</v>
      </c>
      <c r="C28" s="16" t="n"/>
      <c r="D28" s="16" t="inlineStr">
        <is>
          <t>USD</t>
        </is>
      </c>
      <c r="E28" s="29" t="n">
        <v>400</v>
      </c>
      <c r="F28" s="16" t="n"/>
      <c r="G28" s="16" t="inlineStr">
        <is>
          <t>one_time</t>
        </is>
      </c>
      <c r="H28" s="16" t="n"/>
      <c r="I28" s="29" t="n"/>
      <c r="J28" s="29" t="n">
        <v>0</v>
      </c>
      <c r="K28" s="26">
        <f>IF(A28="","",SUMPRODUCT((Phases!$A$3:$A$900=A28)*(Phases!$B$3:$B$900=B28)*(Phases!$C$3:$C$900=C28)))</f>
        <v/>
      </c>
      <c r="L28" s="28">
        <f>IF(A28="","",IF(COUNTIF(Programmes!$A$3:$A$60,A28)=0,"programme inconnu",IF(K28=0,"aucune phase","ok")))</f>
        <v/>
      </c>
      <c r="N28" t="inlineStr">
        <is>
          <t>USD</t>
        </is>
      </c>
    </row>
    <row r="29">
      <c r="A29" s="16" t="inlineStr">
        <is>
          <t>instant-elite</t>
        </is>
      </c>
      <c r="B29" s="21" t="n">
        <v>25000</v>
      </c>
      <c r="C29" s="16" t="n"/>
      <c r="D29" s="16" t="inlineStr">
        <is>
          <t>USD</t>
        </is>
      </c>
      <c r="E29" s="29" t="n">
        <v>800</v>
      </c>
      <c r="F29" s="16" t="n"/>
      <c r="G29" s="16" t="inlineStr">
        <is>
          <t>one_time</t>
        </is>
      </c>
      <c r="H29" s="16" t="n"/>
      <c r="I29" s="29" t="n"/>
      <c r="J29" s="29" t="n">
        <v>0</v>
      </c>
      <c r="K29" s="26">
        <f>IF(A29="","",SUMPRODUCT((Phases!$A$3:$A$900=A29)*(Phases!$B$3:$B$900=B29)*(Phases!$C$3:$C$900=C29)))</f>
        <v/>
      </c>
      <c r="L29" s="28">
        <f>IF(A29="","",IF(COUNTIF(Programmes!$A$3:$A$60,A29)=0,"programme inconnu",IF(K29=0,"aucune phase","ok")))</f>
        <v/>
      </c>
      <c r="N29" t="inlineStr">
        <is>
          <t>USD</t>
        </is>
      </c>
    </row>
    <row r="30">
      <c r="A30" s="16" t="inlineStr">
        <is>
          <t>instant-elite</t>
        </is>
      </c>
      <c r="B30" s="21" t="n">
        <v>50000</v>
      </c>
      <c r="C30" s="16" t="n"/>
      <c r="D30" s="16" t="inlineStr">
        <is>
          <t>USD</t>
        </is>
      </c>
      <c r="E30" s="29" t="n">
        <v>1500</v>
      </c>
      <c r="F30" s="16" t="n"/>
      <c r="G30" s="16" t="inlineStr">
        <is>
          <t>one_time</t>
        </is>
      </c>
      <c r="H30" s="16" t="n"/>
      <c r="I30" s="29" t="n"/>
      <c r="J30" s="29" t="n">
        <v>0</v>
      </c>
      <c r="K30" s="26">
        <f>IF(A30="","",SUMPRODUCT((Phases!$A$3:$A$900=A30)*(Phases!$B$3:$B$900=B30)*(Phases!$C$3:$C$900=C30)))</f>
        <v/>
      </c>
      <c r="L30" s="28">
        <f>IF(A30="","",IF(COUNTIF(Programmes!$A$3:$A$60,A30)=0,"programme inconnu",IF(K30=0,"aucune phase","ok")))</f>
        <v/>
      </c>
      <c r="N30" t="inlineStr">
        <is>
          <t>USD</t>
        </is>
      </c>
    </row>
    <row r="31">
      <c r="A31" s="16" t="inlineStr">
        <is>
          <t>instant-elite</t>
        </is>
      </c>
      <c r="B31" s="21" t="n">
        <v>100000</v>
      </c>
      <c r="C31" s="16" t="n"/>
      <c r="D31" s="16" t="inlineStr">
        <is>
          <t>USD</t>
        </is>
      </c>
      <c r="E31" s="29" t="n">
        <v>2800</v>
      </c>
      <c r="F31" s="16" t="n"/>
      <c r="G31" s="16" t="inlineStr">
        <is>
          <t>one_time</t>
        </is>
      </c>
      <c r="H31" s="16" t="n"/>
      <c r="I31" s="29" t="n"/>
      <c r="J31" s="29" t="n">
        <v>0</v>
      </c>
      <c r="K31" s="26">
        <f>IF(A31="","",SUMPRODUCT((Phases!$A$3:$A$900=A31)*(Phases!$B$3:$B$900=B31)*(Phases!$C$3:$C$900=C31)))</f>
        <v/>
      </c>
      <c r="L31" s="28">
        <f>IF(A31="","",IF(COUNTIF(Programmes!$A$3:$A$60,A31)=0,"programme inconnu",IF(K31=0,"aucune phase","ok")))</f>
        <v/>
      </c>
      <c r="N31" t="inlineStr">
        <is>
          <t>USD</t>
        </is>
      </c>
    </row>
    <row r="32">
      <c r="A32" s="16" t="inlineStr">
        <is>
          <t>instant-lite</t>
        </is>
      </c>
      <c r="B32" s="21" t="n">
        <v>1250</v>
      </c>
      <c r="C32" s="16" t="n"/>
      <c r="D32" s="16" t="inlineStr">
        <is>
          <t>USD</t>
        </is>
      </c>
      <c r="E32" s="29" t="n">
        <v>42.5</v>
      </c>
      <c r="F32" s="16" t="n"/>
      <c r="G32" s="16" t="inlineStr">
        <is>
          <t>one_time</t>
        </is>
      </c>
      <c r="H32" s="16" t="n"/>
      <c r="I32" s="29" t="n"/>
      <c r="J32" s="29" t="n">
        <v>0</v>
      </c>
      <c r="K32" s="26">
        <f>IF(A32="","",SUMPRODUCT((Phases!$A$3:$A$900=A32)*(Phases!$B$3:$B$900=B32)*(Phases!$C$3:$C$900=C32)))</f>
        <v/>
      </c>
      <c r="L32" s="28">
        <f>IF(A32="","",IF(COUNTIF(Programmes!$A$3:$A$60,A32)=0,"programme inconnu",IF(K32=0,"aucune phase","ok")))</f>
        <v/>
      </c>
      <c r="N32" t="inlineStr">
        <is>
          <t>USD</t>
        </is>
      </c>
    </row>
    <row r="33">
      <c r="A33" s="16" t="inlineStr">
        <is>
          <t>instant-lite</t>
        </is>
      </c>
      <c r="B33" s="21" t="n">
        <v>2500</v>
      </c>
      <c r="C33" s="16" t="n"/>
      <c r="D33" s="16" t="inlineStr">
        <is>
          <t>USD</t>
        </is>
      </c>
      <c r="E33" s="29" t="n">
        <v>65</v>
      </c>
      <c r="F33" s="16" t="n"/>
      <c r="G33" s="16" t="inlineStr">
        <is>
          <t>one_time</t>
        </is>
      </c>
      <c r="H33" s="16" t="n"/>
      <c r="I33" s="29" t="n"/>
      <c r="J33" s="29" t="n">
        <v>0</v>
      </c>
      <c r="K33" s="26">
        <f>IF(A33="","",SUMPRODUCT((Phases!$A$3:$A$900=A33)*(Phases!$B$3:$B$900=B33)*(Phases!$C$3:$C$900=C33)))</f>
        <v/>
      </c>
      <c r="L33" s="28">
        <f>IF(A33="","",IF(COUNTIF(Programmes!$A$3:$A$60,A33)=0,"programme inconnu",IF(K33=0,"aucune phase","ok")))</f>
        <v/>
      </c>
      <c r="N33" t="inlineStr">
        <is>
          <t>USD</t>
        </is>
      </c>
    </row>
    <row r="34">
      <c r="A34" s="16" t="inlineStr">
        <is>
          <t>instant-lite</t>
        </is>
      </c>
      <c r="B34" s="21" t="n">
        <v>5000</v>
      </c>
      <c r="C34" s="16" t="n"/>
      <c r="D34" s="16" t="inlineStr">
        <is>
          <t>USD</t>
        </is>
      </c>
      <c r="E34" s="29" t="n">
        <v>95</v>
      </c>
      <c r="F34" s="16" t="n"/>
      <c r="G34" s="16" t="inlineStr">
        <is>
          <t>one_time</t>
        </is>
      </c>
      <c r="H34" s="16" t="n"/>
      <c r="I34" s="29" t="n"/>
      <c r="J34" s="29" t="n">
        <v>0</v>
      </c>
      <c r="K34" s="26">
        <f>IF(A34="","",SUMPRODUCT((Phases!$A$3:$A$900=A34)*(Phases!$B$3:$B$900=B34)*(Phases!$C$3:$C$900=C34)))</f>
        <v/>
      </c>
      <c r="L34" s="28">
        <f>IF(A34="","",IF(COUNTIF(Programmes!$A$3:$A$60,A34)=0,"programme inconnu",IF(K34=0,"aucune phase","ok")))</f>
        <v/>
      </c>
      <c r="N34" t="inlineStr">
        <is>
          <t>USD</t>
        </is>
      </c>
    </row>
    <row r="35">
      <c r="A35" s="16" t="inlineStr">
        <is>
          <t>instant-lite</t>
        </is>
      </c>
      <c r="B35" s="21" t="n">
        <v>10000</v>
      </c>
      <c r="C35" s="16" t="n"/>
      <c r="D35" s="16" t="inlineStr">
        <is>
          <t>USD</t>
        </is>
      </c>
      <c r="E35" s="29" t="n">
        <v>139</v>
      </c>
      <c r="F35" s="16" t="n"/>
      <c r="G35" s="16" t="inlineStr">
        <is>
          <t>one_time</t>
        </is>
      </c>
      <c r="H35" s="16" t="n"/>
      <c r="I35" s="29" t="n"/>
      <c r="J35" s="29" t="n">
        <v>0</v>
      </c>
      <c r="K35" s="26">
        <f>IF(A35="","",SUMPRODUCT((Phases!$A$3:$A$900=A35)*(Phases!$B$3:$B$900=B35)*(Phases!$C$3:$C$900=C35)))</f>
        <v/>
      </c>
      <c r="L35" s="28">
        <f>IF(A35="","",IF(COUNTIF(Programmes!$A$3:$A$60,A35)=0,"programme inconnu",IF(K35=0,"aucune phase","ok")))</f>
        <v/>
      </c>
      <c r="N35" t="inlineStr">
        <is>
          <t>USD</t>
        </is>
      </c>
    </row>
    <row r="36">
      <c r="A36" s="16" t="inlineStr">
        <is>
          <t>instant-lite</t>
        </is>
      </c>
      <c r="B36" s="21" t="n">
        <v>25000</v>
      </c>
      <c r="C36" s="16" t="n"/>
      <c r="D36" s="16" t="inlineStr">
        <is>
          <t>USD</t>
        </is>
      </c>
      <c r="E36" s="29" t="n">
        <v>349</v>
      </c>
      <c r="F36" s="16" t="n"/>
      <c r="G36" s="16" t="inlineStr">
        <is>
          <t>one_time</t>
        </is>
      </c>
      <c r="H36" s="16" t="n"/>
      <c r="I36" s="29" t="n"/>
      <c r="J36" s="29" t="n">
        <v>0</v>
      </c>
      <c r="K36" s="26">
        <f>IF(A36="","",SUMPRODUCT((Phases!$A$3:$A$900=A36)*(Phases!$B$3:$B$900=B36)*(Phases!$C$3:$C$900=C36)))</f>
        <v/>
      </c>
      <c r="L36" s="28">
        <f>IF(A36="","",IF(COUNTIF(Programmes!$A$3:$A$60,A36)=0,"programme inconnu",IF(K36=0,"aucune phase","ok")))</f>
        <v/>
      </c>
      <c r="N36" t="inlineStr">
        <is>
          <t>USD</t>
        </is>
      </c>
    </row>
    <row r="37">
      <c r="A37" s="16" t="inlineStr">
        <is>
          <t>instant-lite</t>
        </is>
      </c>
      <c r="B37" s="21" t="n">
        <v>50000</v>
      </c>
      <c r="C37" s="16" t="n"/>
      <c r="D37" s="16" t="inlineStr">
        <is>
          <t>USD</t>
        </is>
      </c>
      <c r="E37" s="29" t="n">
        <v>449</v>
      </c>
      <c r="F37" s="16" t="n"/>
      <c r="G37" s="16" t="inlineStr">
        <is>
          <t>one_time</t>
        </is>
      </c>
      <c r="H37" s="16" t="n"/>
      <c r="I37" s="29" t="n"/>
      <c r="J37" s="29" t="n">
        <v>0</v>
      </c>
      <c r="K37" s="26">
        <f>IF(A37="","",SUMPRODUCT((Phases!$A$3:$A$900=A37)*(Phases!$B$3:$B$900=B37)*(Phases!$C$3:$C$900=C37)))</f>
        <v/>
      </c>
      <c r="L37" s="28">
        <f>IF(A37="","",IF(COUNTIF(Programmes!$A$3:$A$60,A37)=0,"programme inconnu",IF(K37=0,"aucune phase","ok")))</f>
        <v/>
      </c>
      <c r="N37" t="inlineStr">
        <is>
          <t>USD</t>
        </is>
      </c>
    </row>
    <row r="38">
      <c r="A38" s="16" t="inlineStr">
        <is>
          <t>instant-lite</t>
        </is>
      </c>
      <c r="B38" s="21" t="n">
        <v>100000</v>
      </c>
      <c r="C38" s="16" t="n"/>
      <c r="D38" s="16" t="inlineStr">
        <is>
          <t>USD</t>
        </is>
      </c>
      <c r="E38" s="29" t="n">
        <v>785</v>
      </c>
      <c r="F38" s="16" t="n"/>
      <c r="G38" s="16" t="inlineStr">
        <is>
          <t>one_time</t>
        </is>
      </c>
      <c r="H38" s="16" t="n"/>
      <c r="I38" s="29" t="n"/>
      <c r="J38" s="29" t="n">
        <v>0</v>
      </c>
      <c r="K38" s="26">
        <f>IF(A38="","",SUMPRODUCT((Phases!$A$3:$A$900=A38)*(Phases!$B$3:$B$900=B38)*(Phases!$C$3:$C$900=C38)))</f>
        <v/>
      </c>
      <c r="L38" s="28">
        <f>IF(A38="","",IF(COUNTIF(Programmes!$A$3:$A$60,A38)=0,"programme inconnu",IF(K38=0,"aucune phase","ok")))</f>
        <v/>
      </c>
      <c r="N38" t="inlineStr">
        <is>
          <t>USD</t>
        </is>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prime</t>
        </is>
      </c>
      <c r="B3" s="22" t="n">
        <v>2500</v>
      </c>
      <c r="C3" s="17" t="n"/>
      <c r="D3" s="17" t="inlineStr">
        <is>
          <t>evaluation</t>
        </is>
      </c>
      <c r="E3" s="22" t="n">
        <v>200</v>
      </c>
      <c r="F3" s="22" t="n">
        <v>250</v>
      </c>
      <c r="G3" s="17" t="inlineStr">
        <is>
          <t>Static</t>
        </is>
      </c>
      <c r="H3" s="22" t="n">
        <v>100</v>
      </c>
      <c r="I3" s="24" t="n">
        <v>0</v>
      </c>
      <c r="J3" s="30" t="inlineStr">
        <is>
          <t>aucune</t>
        </is>
      </c>
      <c r="K3" s="24" t="n"/>
      <c r="L3" s="30" t="n"/>
      <c r="M3" s="22" t="n"/>
      <c r="N3" s="22" t="n"/>
      <c r="O3" s="28">
        <f>IF(A3="","",IF(SUMPRODUCT((Plans!$A$3:$A$300=A3)*(Plans!$B$3:$B$300=B3)*(Plans!$C$3:$C$300=C3))=0,"PLAN INCONNU","ok"))</f>
        <v/>
      </c>
    </row>
    <row r="4">
      <c r="A4" s="17" t="inlineStr">
        <is>
          <t>prime</t>
        </is>
      </c>
      <c r="B4" s="22" t="n">
        <v>2500</v>
      </c>
      <c r="C4" s="17" t="n"/>
      <c r="D4" s="17" t="inlineStr">
        <is>
          <t>evaluation_2</t>
        </is>
      </c>
      <c r="E4" s="22" t="n">
        <v>150</v>
      </c>
      <c r="F4" s="22" t="n">
        <v>250</v>
      </c>
      <c r="G4" s="17" t="inlineStr">
        <is>
          <t>Static</t>
        </is>
      </c>
      <c r="H4" s="22" t="n">
        <v>100</v>
      </c>
      <c r="I4" s="24" t="n">
        <v>0</v>
      </c>
      <c r="J4" s="30" t="inlineStr">
        <is>
          <t>aucune</t>
        </is>
      </c>
      <c r="K4" s="24" t="n"/>
      <c r="L4" s="30" t="n"/>
      <c r="M4" s="22" t="n"/>
      <c r="N4" s="22" t="n"/>
      <c r="O4" s="28">
        <f>IF(A4="","",IF(SUMPRODUCT((Plans!$A$3:$A$300=A4)*(Plans!$B$3:$B$300=B4)*(Plans!$C$3:$C$300=C4))=0,"PLAN INCONNU","ok"))</f>
        <v/>
      </c>
    </row>
    <row r="5">
      <c r="A5" s="16" t="inlineStr">
        <is>
          <t>prime</t>
        </is>
      </c>
      <c r="B5" s="21" t="n">
        <v>2500</v>
      </c>
      <c r="C5" s="16" t="n"/>
      <c r="D5" s="16" t="inlineStr">
        <is>
          <t>funded</t>
        </is>
      </c>
      <c r="E5" s="21" t="n"/>
      <c r="F5" s="21" t="n">
        <v>250</v>
      </c>
      <c r="G5" s="16" t="inlineStr">
        <is>
          <t>Static</t>
        </is>
      </c>
      <c r="H5" s="21" t="n">
        <v>100</v>
      </c>
      <c r="I5" s="23" t="n">
        <v>3</v>
      </c>
      <c r="J5" s="31" t="inlineStr">
        <is>
          <t>aucune</t>
        </is>
      </c>
      <c r="K5" s="23" t="n"/>
      <c r="L5" s="31" t="n">
        <v>0.8</v>
      </c>
      <c r="M5" s="21" t="n"/>
      <c r="N5" s="21" t="n">
        <v>100</v>
      </c>
      <c r="O5" s="28">
        <f>IF(A5="","",IF(SUMPRODUCT((Plans!$A$3:$A$300=A5)*(Plans!$B$3:$B$300=B5)*(Plans!$C$3:$C$300=C5))=0,"PLAN INCONNU","ok"))</f>
        <v/>
      </c>
    </row>
    <row r="6">
      <c r="A6" s="16" t="inlineStr">
        <is>
          <t>prime</t>
        </is>
      </c>
      <c r="B6" s="21" t="n">
        <v>5000</v>
      </c>
      <c r="C6" s="16" t="n"/>
      <c r="D6" s="16" t="inlineStr">
        <is>
          <t>evaluation</t>
        </is>
      </c>
      <c r="E6" s="21" t="n">
        <v>400</v>
      </c>
      <c r="F6" s="21" t="n">
        <v>500</v>
      </c>
      <c r="G6" s="16" t="inlineStr">
        <is>
          <t>Static</t>
        </is>
      </c>
      <c r="H6" s="21" t="n">
        <v>200</v>
      </c>
      <c r="I6" s="23" t="n">
        <v>0</v>
      </c>
      <c r="J6" s="31" t="inlineStr">
        <is>
          <t>aucune</t>
        </is>
      </c>
      <c r="K6" s="23" t="n"/>
      <c r="L6" s="31" t="n"/>
      <c r="M6" s="21" t="n"/>
      <c r="N6" s="21" t="n"/>
      <c r="O6" s="28">
        <f>IF(A6="","",IF(SUMPRODUCT((Plans!$A$3:$A$300=A6)*(Plans!$B$3:$B$300=B6)*(Plans!$C$3:$C$300=C6))=0,"PLAN INCONNU","ok"))</f>
        <v/>
      </c>
    </row>
    <row r="7">
      <c r="A7" s="16" t="inlineStr">
        <is>
          <t>prime</t>
        </is>
      </c>
      <c r="B7" s="21" t="n">
        <v>5000</v>
      </c>
      <c r="C7" s="16" t="n"/>
      <c r="D7" s="16" t="inlineStr">
        <is>
          <t>evaluation_2</t>
        </is>
      </c>
      <c r="E7" s="21" t="n">
        <v>300</v>
      </c>
      <c r="F7" s="21" t="n">
        <v>500</v>
      </c>
      <c r="G7" s="16" t="inlineStr">
        <is>
          <t>Static</t>
        </is>
      </c>
      <c r="H7" s="21" t="n">
        <v>200</v>
      </c>
      <c r="I7" s="23" t="n">
        <v>0</v>
      </c>
      <c r="J7" s="31" t="inlineStr">
        <is>
          <t>aucune</t>
        </is>
      </c>
      <c r="K7" s="23" t="n"/>
      <c r="L7" s="31" t="n"/>
      <c r="M7" s="21" t="n"/>
      <c r="N7" s="21" t="n"/>
      <c r="O7" s="28">
        <f>IF(A7="","",IF(SUMPRODUCT((Plans!$A$3:$A$300=A7)*(Plans!$B$3:$B$300=B7)*(Plans!$C$3:$C$300=C7))=0,"PLAN INCONNU","ok"))</f>
        <v/>
      </c>
    </row>
    <row r="8">
      <c r="A8" s="16" t="inlineStr">
        <is>
          <t>prime</t>
        </is>
      </c>
      <c r="B8" s="21" t="n">
        <v>5000</v>
      </c>
      <c r="C8" s="16" t="n"/>
      <c r="D8" s="16" t="inlineStr">
        <is>
          <t>funded</t>
        </is>
      </c>
      <c r="E8" s="21" t="n"/>
      <c r="F8" s="21" t="n">
        <v>500</v>
      </c>
      <c r="G8" s="16" t="inlineStr">
        <is>
          <t>Static</t>
        </is>
      </c>
      <c r="H8" s="21" t="n">
        <v>200</v>
      </c>
      <c r="I8" s="23" t="n">
        <v>3</v>
      </c>
      <c r="J8" s="31" t="inlineStr">
        <is>
          <t>aucune</t>
        </is>
      </c>
      <c r="K8" s="23" t="n"/>
      <c r="L8" s="31" t="n">
        <v>0.8</v>
      </c>
      <c r="M8" s="21" t="n"/>
      <c r="N8" s="21" t="n">
        <v>100</v>
      </c>
      <c r="O8" s="28">
        <f>IF(A8="","",IF(SUMPRODUCT((Plans!$A$3:$A$300=A8)*(Plans!$B$3:$B$300=B8)*(Plans!$C$3:$C$300=C8))=0,"PLAN INCONNU","ok"))</f>
        <v/>
      </c>
    </row>
    <row r="9">
      <c r="A9" s="16" t="inlineStr">
        <is>
          <t>prime</t>
        </is>
      </c>
      <c r="B9" s="21" t="n">
        <v>10000</v>
      </c>
      <c r="C9" s="16" t="n"/>
      <c r="D9" s="16" t="inlineStr">
        <is>
          <t>evaluation</t>
        </is>
      </c>
      <c r="E9" s="21" t="n">
        <v>800</v>
      </c>
      <c r="F9" s="21" t="n">
        <v>1000</v>
      </c>
      <c r="G9" s="16" t="inlineStr">
        <is>
          <t>Static</t>
        </is>
      </c>
      <c r="H9" s="21" t="n">
        <v>400</v>
      </c>
      <c r="I9" s="23" t="n">
        <v>0</v>
      </c>
      <c r="J9" s="31" t="inlineStr">
        <is>
          <t>aucune</t>
        </is>
      </c>
      <c r="K9" s="23" t="n"/>
      <c r="L9" s="31" t="n"/>
      <c r="M9" s="21" t="n"/>
      <c r="N9" s="21" t="n"/>
      <c r="O9" s="28">
        <f>IF(A9="","",IF(SUMPRODUCT((Plans!$A$3:$A$300=A9)*(Plans!$B$3:$B$300=B9)*(Plans!$C$3:$C$300=C9))=0,"PLAN INCONNU","ok"))</f>
        <v/>
      </c>
    </row>
    <row r="10">
      <c r="A10" s="16" t="inlineStr">
        <is>
          <t>prime</t>
        </is>
      </c>
      <c r="B10" s="21" t="n">
        <v>10000</v>
      </c>
      <c r="C10" s="16" t="n"/>
      <c r="D10" s="16" t="inlineStr">
        <is>
          <t>evaluation_2</t>
        </is>
      </c>
      <c r="E10" s="21" t="n">
        <v>600</v>
      </c>
      <c r="F10" s="21" t="n">
        <v>1000</v>
      </c>
      <c r="G10" s="16" t="inlineStr">
        <is>
          <t>Static</t>
        </is>
      </c>
      <c r="H10" s="21" t="n">
        <v>400</v>
      </c>
      <c r="I10" s="23" t="n">
        <v>0</v>
      </c>
      <c r="J10" s="31" t="inlineStr">
        <is>
          <t>aucune</t>
        </is>
      </c>
      <c r="K10" s="23" t="n"/>
      <c r="L10" s="31" t="n"/>
      <c r="M10" s="21" t="n"/>
      <c r="N10" s="21" t="n"/>
      <c r="O10" s="28">
        <f>IF(A10="","",IF(SUMPRODUCT((Plans!$A$3:$A$300=A10)*(Plans!$B$3:$B$300=B10)*(Plans!$C$3:$C$300=C10))=0,"PLAN INCONNU","ok"))</f>
        <v/>
      </c>
    </row>
    <row r="11">
      <c r="A11" s="16" t="inlineStr">
        <is>
          <t>prime</t>
        </is>
      </c>
      <c r="B11" s="21" t="n">
        <v>10000</v>
      </c>
      <c r="C11" s="16" t="n"/>
      <c r="D11" s="16" t="inlineStr">
        <is>
          <t>funded</t>
        </is>
      </c>
      <c r="E11" s="21" t="n"/>
      <c r="F11" s="21" t="n">
        <v>1000</v>
      </c>
      <c r="G11" s="16" t="inlineStr">
        <is>
          <t>Static</t>
        </is>
      </c>
      <c r="H11" s="21" t="n">
        <v>400</v>
      </c>
      <c r="I11" s="23" t="n">
        <v>3</v>
      </c>
      <c r="J11" s="31" t="inlineStr">
        <is>
          <t>aucune</t>
        </is>
      </c>
      <c r="K11" s="23" t="n"/>
      <c r="L11" s="31" t="n">
        <v>0.8</v>
      </c>
      <c r="M11" s="21" t="n"/>
      <c r="N11" s="21" t="n">
        <v>100</v>
      </c>
      <c r="O11" s="28">
        <f>IF(A11="","",IF(SUMPRODUCT((Plans!$A$3:$A$300=A11)*(Plans!$B$3:$B$300=B11)*(Plans!$C$3:$C$300=C11))=0,"PLAN INCONNU","ok"))</f>
        <v/>
      </c>
    </row>
    <row r="12">
      <c r="A12" s="16" t="inlineStr">
        <is>
          <t>prime</t>
        </is>
      </c>
      <c r="B12" s="21" t="n">
        <v>25000</v>
      </c>
      <c r="C12" s="16" t="n"/>
      <c r="D12" s="16" t="inlineStr">
        <is>
          <t>evaluation</t>
        </is>
      </c>
      <c r="E12" s="21" t="n">
        <v>2000</v>
      </c>
      <c r="F12" s="21" t="n">
        <v>2500</v>
      </c>
      <c r="G12" s="16" t="inlineStr">
        <is>
          <t>Static</t>
        </is>
      </c>
      <c r="H12" s="21" t="n">
        <v>1000</v>
      </c>
      <c r="I12" s="23" t="n">
        <v>0</v>
      </c>
      <c r="J12" s="31" t="inlineStr">
        <is>
          <t>aucune</t>
        </is>
      </c>
      <c r="K12" s="23" t="n"/>
      <c r="L12" s="31" t="n"/>
      <c r="M12" s="21" t="n"/>
      <c r="N12" s="21" t="n"/>
      <c r="O12" s="28">
        <f>IF(A12="","",IF(SUMPRODUCT((Plans!$A$3:$A$300=A12)*(Plans!$B$3:$B$300=B12)*(Plans!$C$3:$C$300=C12))=0,"PLAN INCONNU","ok"))</f>
        <v/>
      </c>
    </row>
    <row r="13">
      <c r="A13" s="16" t="inlineStr">
        <is>
          <t>prime</t>
        </is>
      </c>
      <c r="B13" s="21" t="n">
        <v>25000</v>
      </c>
      <c r="C13" s="16" t="n"/>
      <c r="D13" s="16" t="inlineStr">
        <is>
          <t>evaluation_2</t>
        </is>
      </c>
      <c r="E13" s="21" t="n">
        <v>1500</v>
      </c>
      <c r="F13" s="21" t="n">
        <v>2500</v>
      </c>
      <c r="G13" s="16" t="inlineStr">
        <is>
          <t>Static</t>
        </is>
      </c>
      <c r="H13" s="21" t="n">
        <v>1000</v>
      </c>
      <c r="I13" s="23" t="n">
        <v>0</v>
      </c>
      <c r="J13" s="31" t="inlineStr">
        <is>
          <t>aucune</t>
        </is>
      </c>
      <c r="K13" s="23" t="n"/>
      <c r="L13" s="31" t="n"/>
      <c r="M13" s="21" t="n"/>
      <c r="N13" s="21" t="n"/>
      <c r="O13" s="28">
        <f>IF(A13="","",IF(SUMPRODUCT((Plans!$A$3:$A$300=A13)*(Plans!$B$3:$B$300=B13)*(Plans!$C$3:$C$300=C13))=0,"PLAN INCONNU","ok"))</f>
        <v/>
      </c>
    </row>
    <row r="14">
      <c r="A14" s="16" t="inlineStr">
        <is>
          <t>prime</t>
        </is>
      </c>
      <c r="B14" s="21" t="n">
        <v>25000</v>
      </c>
      <c r="C14" s="16" t="n"/>
      <c r="D14" s="16" t="inlineStr">
        <is>
          <t>funded</t>
        </is>
      </c>
      <c r="E14" s="21" t="n"/>
      <c r="F14" s="21" t="n">
        <v>2500</v>
      </c>
      <c r="G14" s="16" t="inlineStr">
        <is>
          <t>Static</t>
        </is>
      </c>
      <c r="H14" s="21" t="n">
        <v>1000</v>
      </c>
      <c r="I14" s="23" t="n">
        <v>3</v>
      </c>
      <c r="J14" s="31" t="inlineStr">
        <is>
          <t>aucune</t>
        </is>
      </c>
      <c r="K14" s="23" t="n"/>
      <c r="L14" s="31" t="n">
        <v>0.8</v>
      </c>
      <c r="M14" s="21" t="n"/>
      <c r="N14" s="21" t="n">
        <v>100</v>
      </c>
      <c r="O14" s="28">
        <f>IF(A14="","",IF(SUMPRODUCT((Plans!$A$3:$A$300=A14)*(Plans!$B$3:$B$300=B14)*(Plans!$C$3:$C$300=C14))=0,"PLAN INCONNU","ok"))</f>
        <v/>
      </c>
    </row>
    <row r="15">
      <c r="A15" s="16" t="inlineStr">
        <is>
          <t>prime</t>
        </is>
      </c>
      <c r="B15" s="21" t="n">
        <v>50000</v>
      </c>
      <c r="C15" s="16" t="n"/>
      <c r="D15" s="16" t="inlineStr">
        <is>
          <t>evaluation</t>
        </is>
      </c>
      <c r="E15" s="21" t="n">
        <v>4000</v>
      </c>
      <c r="F15" s="21" t="n">
        <v>5000</v>
      </c>
      <c r="G15" s="16" t="inlineStr">
        <is>
          <t>Static</t>
        </is>
      </c>
      <c r="H15" s="21" t="n">
        <v>2000</v>
      </c>
      <c r="I15" s="23" t="n">
        <v>0</v>
      </c>
      <c r="J15" s="31" t="inlineStr">
        <is>
          <t>aucune</t>
        </is>
      </c>
      <c r="K15" s="23" t="n"/>
      <c r="L15" s="31" t="n"/>
      <c r="M15" s="21" t="n"/>
      <c r="N15" s="21" t="n"/>
      <c r="O15" s="28">
        <f>IF(A15="","",IF(SUMPRODUCT((Plans!$A$3:$A$300=A15)*(Plans!$B$3:$B$300=B15)*(Plans!$C$3:$C$300=C15))=0,"PLAN INCONNU","ok"))</f>
        <v/>
      </c>
    </row>
    <row r="16">
      <c r="A16" s="16" t="inlineStr">
        <is>
          <t>prime</t>
        </is>
      </c>
      <c r="B16" s="21" t="n">
        <v>50000</v>
      </c>
      <c r="C16" s="16" t="n"/>
      <c r="D16" s="16" t="inlineStr">
        <is>
          <t>evaluation_2</t>
        </is>
      </c>
      <c r="E16" s="21" t="n">
        <v>3000</v>
      </c>
      <c r="F16" s="21" t="n">
        <v>5000</v>
      </c>
      <c r="G16" s="16" t="inlineStr">
        <is>
          <t>Static</t>
        </is>
      </c>
      <c r="H16" s="21" t="n">
        <v>2000</v>
      </c>
      <c r="I16" s="23" t="n">
        <v>0</v>
      </c>
      <c r="J16" s="31" t="inlineStr">
        <is>
          <t>aucune</t>
        </is>
      </c>
      <c r="K16" s="23" t="n"/>
      <c r="L16" s="31" t="n"/>
      <c r="M16" s="21" t="n"/>
      <c r="N16" s="21" t="n"/>
      <c r="O16" s="28">
        <f>IF(A16="","",IF(SUMPRODUCT((Plans!$A$3:$A$300=A16)*(Plans!$B$3:$B$300=B16)*(Plans!$C$3:$C$300=C16))=0,"PLAN INCONNU","ok"))</f>
        <v/>
      </c>
    </row>
    <row r="17">
      <c r="A17" s="16" t="inlineStr">
        <is>
          <t>prime</t>
        </is>
      </c>
      <c r="B17" s="21" t="n">
        <v>50000</v>
      </c>
      <c r="C17" s="16" t="n"/>
      <c r="D17" s="16" t="inlineStr">
        <is>
          <t>funded</t>
        </is>
      </c>
      <c r="E17" s="21" t="n"/>
      <c r="F17" s="21" t="n">
        <v>5000</v>
      </c>
      <c r="G17" s="16" t="inlineStr">
        <is>
          <t>Static</t>
        </is>
      </c>
      <c r="H17" s="21" t="n">
        <v>2000</v>
      </c>
      <c r="I17" s="23" t="n">
        <v>3</v>
      </c>
      <c r="J17" s="31" t="inlineStr">
        <is>
          <t>aucune</t>
        </is>
      </c>
      <c r="K17" s="23" t="n"/>
      <c r="L17" s="31" t="n">
        <v>0.8</v>
      </c>
      <c r="M17" s="21" t="n"/>
      <c r="N17" s="21" t="n">
        <v>100</v>
      </c>
      <c r="O17" s="28">
        <f>IF(A17="","",IF(SUMPRODUCT((Plans!$A$3:$A$300=A17)*(Plans!$B$3:$B$300=B17)*(Plans!$C$3:$C$300=C17))=0,"PLAN INCONNU","ok"))</f>
        <v/>
      </c>
    </row>
    <row r="18">
      <c r="A18" s="16" t="inlineStr">
        <is>
          <t>prime</t>
        </is>
      </c>
      <c r="B18" s="21" t="n">
        <v>100000</v>
      </c>
      <c r="C18" s="16" t="n"/>
      <c r="D18" s="16" t="inlineStr">
        <is>
          <t>evaluation</t>
        </is>
      </c>
      <c r="E18" s="21" t="n">
        <v>8000</v>
      </c>
      <c r="F18" s="21" t="n">
        <v>10000</v>
      </c>
      <c r="G18" s="16" t="inlineStr">
        <is>
          <t>Static</t>
        </is>
      </c>
      <c r="H18" s="21" t="n">
        <v>4000</v>
      </c>
      <c r="I18" s="23" t="n">
        <v>0</v>
      </c>
      <c r="J18" s="31" t="inlineStr">
        <is>
          <t>aucune</t>
        </is>
      </c>
      <c r="K18" s="23" t="n"/>
      <c r="L18" s="31" t="n"/>
      <c r="M18" s="21" t="n"/>
      <c r="N18" s="21" t="n"/>
      <c r="O18" s="28">
        <f>IF(A18="","",IF(SUMPRODUCT((Plans!$A$3:$A$300=A18)*(Plans!$B$3:$B$300=B18)*(Plans!$C$3:$C$300=C18))=0,"PLAN INCONNU","ok"))</f>
        <v/>
      </c>
    </row>
    <row r="19">
      <c r="A19" s="16" t="inlineStr">
        <is>
          <t>prime</t>
        </is>
      </c>
      <c r="B19" s="21" t="n">
        <v>100000</v>
      </c>
      <c r="C19" s="16" t="n"/>
      <c r="D19" s="16" t="inlineStr">
        <is>
          <t>evaluation_2</t>
        </is>
      </c>
      <c r="E19" s="21" t="n">
        <v>6000</v>
      </c>
      <c r="F19" s="21" t="n">
        <v>10000</v>
      </c>
      <c r="G19" s="16" t="inlineStr">
        <is>
          <t>Static</t>
        </is>
      </c>
      <c r="H19" s="21" t="n">
        <v>4000</v>
      </c>
      <c r="I19" s="23" t="n">
        <v>0</v>
      </c>
      <c r="J19" s="31" t="inlineStr">
        <is>
          <t>aucune</t>
        </is>
      </c>
      <c r="K19" s="23" t="n"/>
      <c r="L19" s="31" t="n"/>
      <c r="M19" s="21" t="n"/>
      <c r="N19" s="21" t="n"/>
      <c r="O19" s="28">
        <f>IF(A19="","",IF(SUMPRODUCT((Plans!$A$3:$A$300=A19)*(Plans!$B$3:$B$300=B19)*(Plans!$C$3:$C$300=C19))=0,"PLAN INCONNU","ok"))</f>
        <v/>
      </c>
    </row>
    <row r="20">
      <c r="A20" s="16" t="inlineStr">
        <is>
          <t>prime</t>
        </is>
      </c>
      <c r="B20" s="21" t="n">
        <v>100000</v>
      </c>
      <c r="C20" s="16" t="n"/>
      <c r="D20" s="16" t="inlineStr">
        <is>
          <t>funded</t>
        </is>
      </c>
      <c r="E20" s="21" t="n"/>
      <c r="F20" s="21" t="n">
        <v>10000</v>
      </c>
      <c r="G20" s="16" t="inlineStr">
        <is>
          <t>Static</t>
        </is>
      </c>
      <c r="H20" s="21" t="n">
        <v>4000</v>
      </c>
      <c r="I20" s="23" t="n">
        <v>3</v>
      </c>
      <c r="J20" s="31" t="inlineStr">
        <is>
          <t>aucune</t>
        </is>
      </c>
      <c r="K20" s="23" t="n"/>
      <c r="L20" s="31" t="n">
        <v>0.8</v>
      </c>
      <c r="M20" s="21" t="n"/>
      <c r="N20" s="21" t="n">
        <v>100</v>
      </c>
      <c r="O20" s="28">
        <f>IF(A20="","",IF(SUMPRODUCT((Plans!$A$3:$A$300=A20)*(Plans!$B$3:$B$300=B20)*(Plans!$C$3:$C$300=C20))=0,"PLAN INCONNU","ok"))</f>
        <v/>
      </c>
    </row>
    <row r="21">
      <c r="A21" s="16" t="inlineStr">
        <is>
          <t>prime</t>
        </is>
      </c>
      <c r="B21" s="21" t="n">
        <v>200000</v>
      </c>
      <c r="C21" s="16" t="n"/>
      <c r="D21" s="16" t="inlineStr">
        <is>
          <t>evaluation</t>
        </is>
      </c>
      <c r="E21" s="21" t="n">
        <v>16000</v>
      </c>
      <c r="F21" s="21" t="n">
        <v>20000</v>
      </c>
      <c r="G21" s="16" t="inlineStr">
        <is>
          <t>Static</t>
        </is>
      </c>
      <c r="H21" s="21" t="n">
        <v>8000</v>
      </c>
      <c r="I21" s="23" t="n">
        <v>0</v>
      </c>
      <c r="J21" s="31" t="inlineStr">
        <is>
          <t>aucune</t>
        </is>
      </c>
      <c r="K21" s="23" t="n"/>
      <c r="L21" s="31" t="n"/>
      <c r="M21" s="21" t="n"/>
      <c r="N21" s="21" t="n"/>
      <c r="O21" s="28">
        <f>IF(A21="","",IF(SUMPRODUCT((Plans!$A$3:$A$300=A21)*(Plans!$B$3:$B$300=B21)*(Plans!$C$3:$C$300=C21))=0,"PLAN INCONNU","ok"))</f>
        <v/>
      </c>
    </row>
    <row r="22">
      <c r="A22" s="16" t="inlineStr">
        <is>
          <t>prime</t>
        </is>
      </c>
      <c r="B22" s="21" t="n">
        <v>200000</v>
      </c>
      <c r="C22" s="16" t="n"/>
      <c r="D22" s="16" t="inlineStr">
        <is>
          <t>evaluation_2</t>
        </is>
      </c>
      <c r="E22" s="21" t="n">
        <v>12000</v>
      </c>
      <c r="F22" s="21" t="n">
        <v>20000</v>
      </c>
      <c r="G22" s="16" t="inlineStr">
        <is>
          <t>Static</t>
        </is>
      </c>
      <c r="H22" s="21" t="n">
        <v>8000</v>
      </c>
      <c r="I22" s="23" t="n">
        <v>0</v>
      </c>
      <c r="J22" s="31" t="inlineStr">
        <is>
          <t>aucune</t>
        </is>
      </c>
      <c r="K22" s="23" t="n"/>
      <c r="L22" s="31" t="n"/>
      <c r="M22" s="21" t="n"/>
      <c r="N22" s="21" t="n"/>
      <c r="O22" s="28">
        <f>IF(A22="","",IF(SUMPRODUCT((Plans!$A$3:$A$300=A22)*(Plans!$B$3:$B$300=B22)*(Plans!$C$3:$C$300=C22))=0,"PLAN INCONNU","ok"))</f>
        <v/>
      </c>
    </row>
    <row r="23">
      <c r="A23" s="16" t="inlineStr">
        <is>
          <t>prime</t>
        </is>
      </c>
      <c r="B23" s="21" t="n">
        <v>200000</v>
      </c>
      <c r="C23" s="16" t="n"/>
      <c r="D23" s="16" t="inlineStr">
        <is>
          <t>funded</t>
        </is>
      </c>
      <c r="E23" s="21" t="n"/>
      <c r="F23" s="21" t="n">
        <v>20000</v>
      </c>
      <c r="G23" s="16" t="inlineStr">
        <is>
          <t>Static</t>
        </is>
      </c>
      <c r="H23" s="21" t="n">
        <v>8000</v>
      </c>
      <c r="I23" s="23" t="n">
        <v>3</v>
      </c>
      <c r="J23" s="31" t="inlineStr">
        <is>
          <t>aucune</t>
        </is>
      </c>
      <c r="K23" s="23" t="n"/>
      <c r="L23" s="31" t="n">
        <v>0.8</v>
      </c>
      <c r="M23" s="21" t="n"/>
      <c r="N23" s="21" t="n">
        <v>100</v>
      </c>
      <c r="O23" s="28">
        <f>IF(A23="","",IF(SUMPRODUCT((Plans!$A$3:$A$300=A23)*(Plans!$B$3:$B$300=B23)*(Plans!$C$3:$C$300=C23))=0,"PLAN INCONNU","ok"))</f>
        <v/>
      </c>
    </row>
    <row r="24">
      <c r="A24" s="16" t="inlineStr">
        <is>
          <t>flex-1-step</t>
        </is>
      </c>
      <c r="B24" s="21" t="n">
        <v>5000</v>
      </c>
      <c r="C24" s="16" t="n"/>
      <c r="D24" s="16" t="inlineStr">
        <is>
          <t>evaluation</t>
        </is>
      </c>
      <c r="E24" s="21" t="n">
        <v>600</v>
      </c>
      <c r="F24" s="21" t="n">
        <v>600</v>
      </c>
      <c r="G24" s="16" t="inlineStr">
        <is>
          <t>Static</t>
        </is>
      </c>
      <c r="H24" s="21" t="n">
        <v>150</v>
      </c>
      <c r="I24" s="23" t="n">
        <v>0</v>
      </c>
      <c r="J24" s="31" t="inlineStr">
        <is>
          <t>aucune</t>
        </is>
      </c>
      <c r="K24" s="23" t="n"/>
      <c r="L24" s="31" t="n"/>
      <c r="M24" s="21" t="n"/>
      <c r="N24" s="21" t="n"/>
      <c r="O24" s="28">
        <f>IF(A24="","",IF(SUMPRODUCT((Plans!$A$3:$A$300=A24)*(Plans!$B$3:$B$300=B24)*(Plans!$C$3:$C$300=C24))=0,"PLAN INCONNU","ok"))</f>
        <v/>
      </c>
    </row>
    <row r="25">
      <c r="A25" s="16" t="inlineStr">
        <is>
          <t>flex-1-step</t>
        </is>
      </c>
      <c r="B25" s="21" t="n">
        <v>5000</v>
      </c>
      <c r="C25" s="16" t="n"/>
      <c r="D25" s="16" t="inlineStr">
        <is>
          <t>funded</t>
        </is>
      </c>
      <c r="E25" s="21" t="n"/>
      <c r="F25" s="21" t="n">
        <v>600</v>
      </c>
      <c r="G25" s="16" t="inlineStr">
        <is>
          <t>Static</t>
        </is>
      </c>
      <c r="H25" s="21" t="n">
        <v>150</v>
      </c>
      <c r="I25" s="23" t="n">
        <v>0</v>
      </c>
      <c r="J25" s="31" t="inlineStr">
        <is>
          <t>aucune</t>
        </is>
      </c>
      <c r="K25" s="23" t="n"/>
      <c r="L25" s="31" t="n">
        <v>0.85</v>
      </c>
      <c r="M25" s="21" t="n"/>
      <c r="N25" s="21" t="n">
        <v>50</v>
      </c>
      <c r="O25" s="28">
        <f>IF(A25="","",IF(SUMPRODUCT((Plans!$A$3:$A$300=A25)*(Plans!$B$3:$B$300=B25)*(Plans!$C$3:$C$300=C25))=0,"PLAN INCONNU","ok"))</f>
        <v/>
      </c>
    </row>
    <row r="26">
      <c r="A26" s="16" t="inlineStr">
        <is>
          <t>flex-1-step</t>
        </is>
      </c>
      <c r="B26" s="21" t="n">
        <v>10000</v>
      </c>
      <c r="C26" s="16" t="n"/>
      <c r="D26" s="16" t="inlineStr">
        <is>
          <t>evaluation</t>
        </is>
      </c>
      <c r="E26" s="21" t="n">
        <v>1200</v>
      </c>
      <c r="F26" s="21" t="n">
        <v>1200</v>
      </c>
      <c r="G26" s="16" t="inlineStr">
        <is>
          <t>Static</t>
        </is>
      </c>
      <c r="H26" s="21" t="n">
        <v>300</v>
      </c>
      <c r="I26" s="23" t="n">
        <v>0</v>
      </c>
      <c r="J26" s="31" t="inlineStr">
        <is>
          <t>aucune</t>
        </is>
      </c>
      <c r="K26" s="23" t="n"/>
      <c r="L26" s="31" t="n"/>
      <c r="M26" s="21" t="n"/>
      <c r="N26" s="21" t="n"/>
      <c r="O26" s="28">
        <f>IF(A26="","",IF(SUMPRODUCT((Plans!$A$3:$A$300=A26)*(Plans!$B$3:$B$300=B26)*(Plans!$C$3:$C$300=C26))=0,"PLAN INCONNU","ok"))</f>
        <v/>
      </c>
    </row>
    <row r="27">
      <c r="A27" s="16" t="inlineStr">
        <is>
          <t>flex-1-step</t>
        </is>
      </c>
      <c r="B27" s="21" t="n">
        <v>10000</v>
      </c>
      <c r="C27" s="16" t="n"/>
      <c r="D27" s="16" t="inlineStr">
        <is>
          <t>funded</t>
        </is>
      </c>
      <c r="E27" s="21" t="n"/>
      <c r="F27" s="21" t="n">
        <v>1200</v>
      </c>
      <c r="G27" s="16" t="inlineStr">
        <is>
          <t>Static</t>
        </is>
      </c>
      <c r="H27" s="21" t="n">
        <v>300</v>
      </c>
      <c r="I27" s="23" t="n">
        <v>0</v>
      </c>
      <c r="J27" s="31" t="inlineStr">
        <is>
          <t>aucune</t>
        </is>
      </c>
      <c r="K27" s="23" t="n"/>
      <c r="L27" s="31" t="n">
        <v>0.85</v>
      </c>
      <c r="M27" s="21" t="n"/>
      <c r="N27" s="21" t="n">
        <v>100</v>
      </c>
      <c r="O27" s="28">
        <f>IF(A27="","",IF(SUMPRODUCT((Plans!$A$3:$A$300=A27)*(Plans!$B$3:$B$300=B27)*(Plans!$C$3:$C$300=C27))=0,"PLAN INCONNU","ok"))</f>
        <v/>
      </c>
    </row>
    <row r="28">
      <c r="A28" s="16" t="inlineStr">
        <is>
          <t>flex-1-step</t>
        </is>
      </c>
      <c r="B28" s="21" t="n">
        <v>25000</v>
      </c>
      <c r="C28" s="16" t="n"/>
      <c r="D28" s="16" t="inlineStr">
        <is>
          <t>evaluation</t>
        </is>
      </c>
      <c r="E28" s="21" t="n">
        <v>3000</v>
      </c>
      <c r="F28" s="21" t="n">
        <v>3000</v>
      </c>
      <c r="G28" s="16" t="inlineStr">
        <is>
          <t>Static</t>
        </is>
      </c>
      <c r="H28" s="21" t="n">
        <v>750</v>
      </c>
      <c r="I28" s="23" t="n">
        <v>0</v>
      </c>
      <c r="J28" s="31" t="inlineStr">
        <is>
          <t>aucune</t>
        </is>
      </c>
      <c r="K28" s="23" t="n"/>
      <c r="L28" s="31" t="n"/>
      <c r="M28" s="21" t="n"/>
      <c r="N28" s="21" t="n"/>
      <c r="O28" s="28">
        <f>IF(A28="","",IF(SUMPRODUCT((Plans!$A$3:$A$300=A28)*(Plans!$B$3:$B$300=B28)*(Plans!$C$3:$C$300=C28))=0,"PLAN INCONNU","ok"))</f>
        <v/>
      </c>
    </row>
    <row r="29">
      <c r="A29" s="16" t="inlineStr">
        <is>
          <t>flex-1-step</t>
        </is>
      </c>
      <c r="B29" s="21" t="n">
        <v>25000</v>
      </c>
      <c r="C29" s="16" t="n"/>
      <c r="D29" s="16" t="inlineStr">
        <is>
          <t>funded</t>
        </is>
      </c>
      <c r="E29" s="21" t="n"/>
      <c r="F29" s="21" t="n">
        <v>3000</v>
      </c>
      <c r="G29" s="16" t="inlineStr">
        <is>
          <t>Static</t>
        </is>
      </c>
      <c r="H29" s="21" t="n">
        <v>750</v>
      </c>
      <c r="I29" s="23" t="n">
        <v>0</v>
      </c>
      <c r="J29" s="31" t="inlineStr">
        <is>
          <t>aucune</t>
        </is>
      </c>
      <c r="K29" s="23" t="n"/>
      <c r="L29" s="31" t="n">
        <v>0.85</v>
      </c>
      <c r="M29" s="21" t="n"/>
      <c r="N29" s="21" t="n">
        <v>250</v>
      </c>
      <c r="O29" s="28">
        <f>IF(A29="","",IF(SUMPRODUCT((Plans!$A$3:$A$300=A29)*(Plans!$B$3:$B$300=B29)*(Plans!$C$3:$C$300=C29))=0,"PLAN INCONNU","ok"))</f>
        <v/>
      </c>
    </row>
    <row r="30">
      <c r="A30" s="16" t="inlineStr">
        <is>
          <t>flex-1-step</t>
        </is>
      </c>
      <c r="B30" s="21" t="n">
        <v>50000</v>
      </c>
      <c r="C30" s="16" t="n"/>
      <c r="D30" s="16" t="inlineStr">
        <is>
          <t>evaluation</t>
        </is>
      </c>
      <c r="E30" s="21" t="n">
        <v>6000</v>
      </c>
      <c r="F30" s="21" t="n">
        <v>6000</v>
      </c>
      <c r="G30" s="16" t="inlineStr">
        <is>
          <t>Static</t>
        </is>
      </c>
      <c r="H30" s="21" t="n">
        <v>1500</v>
      </c>
      <c r="I30" s="23" t="n">
        <v>0</v>
      </c>
      <c r="J30" s="31" t="inlineStr">
        <is>
          <t>aucune</t>
        </is>
      </c>
      <c r="K30" s="23" t="n"/>
      <c r="L30" s="31" t="n"/>
      <c r="M30" s="21" t="n"/>
      <c r="N30" s="21" t="n"/>
      <c r="O30" s="28">
        <f>IF(A30="","",IF(SUMPRODUCT((Plans!$A$3:$A$300=A30)*(Plans!$B$3:$B$300=B30)*(Plans!$C$3:$C$300=C30))=0,"PLAN INCONNU","ok"))</f>
        <v/>
      </c>
    </row>
    <row r="31">
      <c r="A31" s="16" t="inlineStr">
        <is>
          <t>flex-1-step</t>
        </is>
      </c>
      <c r="B31" s="21" t="n">
        <v>50000</v>
      </c>
      <c r="C31" s="16" t="n"/>
      <c r="D31" s="16" t="inlineStr">
        <is>
          <t>funded</t>
        </is>
      </c>
      <c r="E31" s="21" t="n"/>
      <c r="F31" s="21" t="n">
        <v>6000</v>
      </c>
      <c r="G31" s="16" t="inlineStr">
        <is>
          <t>Static</t>
        </is>
      </c>
      <c r="H31" s="21" t="n">
        <v>1500</v>
      </c>
      <c r="I31" s="23" t="n">
        <v>0</v>
      </c>
      <c r="J31" s="31" t="inlineStr">
        <is>
          <t>aucune</t>
        </is>
      </c>
      <c r="K31" s="23" t="n"/>
      <c r="L31" s="31" t="n">
        <v>0.85</v>
      </c>
      <c r="M31" s="21" t="n"/>
      <c r="N31" s="21" t="n">
        <v>500</v>
      </c>
      <c r="O31" s="28">
        <f>IF(A31="","",IF(SUMPRODUCT((Plans!$A$3:$A$300=A31)*(Plans!$B$3:$B$300=B31)*(Plans!$C$3:$C$300=C31))=0,"PLAN INCONNU","ok"))</f>
        <v/>
      </c>
    </row>
    <row r="32">
      <c r="A32" s="16" t="inlineStr">
        <is>
          <t>flex-1-step</t>
        </is>
      </c>
      <c r="B32" s="21" t="n">
        <v>100000</v>
      </c>
      <c r="C32" s="16" t="n"/>
      <c r="D32" s="16" t="inlineStr">
        <is>
          <t>evaluation</t>
        </is>
      </c>
      <c r="E32" s="21" t="n">
        <v>12000</v>
      </c>
      <c r="F32" s="21" t="n">
        <v>12000</v>
      </c>
      <c r="G32" s="16" t="inlineStr">
        <is>
          <t>Static</t>
        </is>
      </c>
      <c r="H32" s="21" t="n">
        <v>3000</v>
      </c>
      <c r="I32" s="23" t="n">
        <v>0</v>
      </c>
      <c r="J32" s="31" t="inlineStr">
        <is>
          <t>aucune</t>
        </is>
      </c>
      <c r="K32" s="23" t="n"/>
      <c r="L32" s="31" t="n"/>
      <c r="M32" s="21" t="n"/>
      <c r="N32" s="21" t="n"/>
      <c r="O32" s="28">
        <f>IF(A32="","",IF(SUMPRODUCT((Plans!$A$3:$A$300=A32)*(Plans!$B$3:$B$300=B32)*(Plans!$C$3:$C$300=C32))=0,"PLAN INCONNU","ok"))</f>
        <v/>
      </c>
    </row>
    <row r="33">
      <c r="A33" s="16" t="inlineStr">
        <is>
          <t>flex-1-step</t>
        </is>
      </c>
      <c r="B33" s="21" t="n">
        <v>100000</v>
      </c>
      <c r="C33" s="16" t="n"/>
      <c r="D33" s="16" t="inlineStr">
        <is>
          <t>funded</t>
        </is>
      </c>
      <c r="E33" s="21" t="n"/>
      <c r="F33" s="21" t="n">
        <v>12000</v>
      </c>
      <c r="G33" s="16" t="inlineStr">
        <is>
          <t>Static</t>
        </is>
      </c>
      <c r="H33" s="21" t="n">
        <v>3000</v>
      </c>
      <c r="I33" s="23" t="n">
        <v>0</v>
      </c>
      <c r="J33" s="31" t="inlineStr">
        <is>
          <t>aucune</t>
        </is>
      </c>
      <c r="K33" s="23" t="n"/>
      <c r="L33" s="31" t="n">
        <v>0.85</v>
      </c>
      <c r="M33" s="21" t="n"/>
      <c r="N33" s="21" t="n">
        <v>1000</v>
      </c>
      <c r="O33" s="28">
        <f>IF(A33="","",IF(SUMPRODUCT((Plans!$A$3:$A$300=A33)*(Plans!$B$3:$B$300=B33)*(Plans!$C$3:$C$300=C33))=0,"PLAN INCONNU","ok"))</f>
        <v/>
      </c>
    </row>
    <row r="34">
      <c r="A34" s="16" t="inlineStr">
        <is>
          <t>1-step</t>
        </is>
      </c>
      <c r="B34" s="21" t="n">
        <v>5000</v>
      </c>
      <c r="C34" s="16" t="n"/>
      <c r="D34" s="16" t="inlineStr">
        <is>
          <t>evaluation</t>
        </is>
      </c>
      <c r="E34" s="21" t="n">
        <v>500</v>
      </c>
      <c r="F34" s="21" t="n">
        <v>300</v>
      </c>
      <c r="G34" s="16" t="inlineStr">
        <is>
          <t>Static</t>
        </is>
      </c>
      <c r="H34" s="21" t="n">
        <v>200</v>
      </c>
      <c r="I34" s="23" t="n">
        <v>3</v>
      </c>
      <c r="J34" s="31" t="inlineStr">
        <is>
          <t>aucune</t>
        </is>
      </c>
      <c r="K34" s="23" t="n"/>
      <c r="L34" s="31" t="n"/>
      <c r="M34" s="21" t="n"/>
      <c r="N34" s="21" t="n"/>
      <c r="O34" s="28">
        <f>IF(A34="","",IF(SUMPRODUCT((Plans!$A$3:$A$300=A34)*(Plans!$B$3:$B$300=B34)*(Plans!$C$3:$C$300=C34))=0,"PLAN INCONNU","ok"))</f>
        <v/>
      </c>
    </row>
    <row r="35">
      <c r="A35" s="16" t="inlineStr">
        <is>
          <t>1-step</t>
        </is>
      </c>
      <c r="B35" s="21" t="n">
        <v>5000</v>
      </c>
      <c r="C35" s="16" t="n"/>
      <c r="D35" s="16" t="inlineStr">
        <is>
          <t>funded</t>
        </is>
      </c>
      <c r="E35" s="21" t="n"/>
      <c r="F35" s="21" t="n">
        <v>300</v>
      </c>
      <c r="G35" s="16" t="inlineStr">
        <is>
          <t>Static</t>
        </is>
      </c>
      <c r="H35" s="21" t="n">
        <v>200</v>
      </c>
      <c r="I35" s="23" t="n">
        <v>3</v>
      </c>
      <c r="J35" s="31" t="inlineStr">
        <is>
          <t>aucune</t>
        </is>
      </c>
      <c r="K35" s="23" t="n"/>
      <c r="L35" s="31" t="n">
        <v>0.8</v>
      </c>
      <c r="M35" s="21" t="n"/>
      <c r="N35" s="21" t="n">
        <v>100</v>
      </c>
      <c r="O35" s="28">
        <f>IF(A35="","",IF(SUMPRODUCT((Plans!$A$3:$A$300=A35)*(Plans!$B$3:$B$300=B35)*(Plans!$C$3:$C$300=C35))=0,"PLAN INCONNU","ok"))</f>
        <v/>
      </c>
    </row>
    <row r="36">
      <c r="A36" s="16" t="inlineStr">
        <is>
          <t>1-step</t>
        </is>
      </c>
      <c r="B36" s="21" t="n">
        <v>10000</v>
      </c>
      <c r="C36" s="16" t="n"/>
      <c r="D36" s="16" t="inlineStr">
        <is>
          <t>evaluation</t>
        </is>
      </c>
      <c r="E36" s="21" t="n">
        <v>1000</v>
      </c>
      <c r="F36" s="21" t="n">
        <v>600</v>
      </c>
      <c r="G36" s="16" t="inlineStr">
        <is>
          <t>Static</t>
        </is>
      </c>
      <c r="H36" s="21" t="n">
        <v>400</v>
      </c>
      <c r="I36" s="23" t="n">
        <v>3</v>
      </c>
      <c r="J36" s="31" t="inlineStr">
        <is>
          <t>aucune</t>
        </is>
      </c>
      <c r="K36" s="23" t="n"/>
      <c r="L36" s="31" t="n"/>
      <c r="M36" s="21" t="n"/>
      <c r="N36" s="21" t="n"/>
      <c r="O36" s="28">
        <f>IF(A36="","",IF(SUMPRODUCT((Plans!$A$3:$A$300=A36)*(Plans!$B$3:$B$300=B36)*(Plans!$C$3:$C$300=C36))=0,"PLAN INCONNU","ok"))</f>
        <v/>
      </c>
    </row>
    <row r="37">
      <c r="A37" s="16" t="inlineStr">
        <is>
          <t>1-step</t>
        </is>
      </c>
      <c r="B37" s="21" t="n">
        <v>10000</v>
      </c>
      <c r="C37" s="16" t="n"/>
      <c r="D37" s="16" t="inlineStr">
        <is>
          <t>funded</t>
        </is>
      </c>
      <c r="E37" s="21" t="n"/>
      <c r="F37" s="21" t="n">
        <v>600</v>
      </c>
      <c r="G37" s="16" t="inlineStr">
        <is>
          <t>Static</t>
        </is>
      </c>
      <c r="H37" s="21" t="n">
        <v>400</v>
      </c>
      <c r="I37" s="23" t="n">
        <v>3</v>
      </c>
      <c r="J37" s="31" t="inlineStr">
        <is>
          <t>aucune</t>
        </is>
      </c>
      <c r="K37" s="23" t="n"/>
      <c r="L37" s="31" t="n">
        <v>0.8</v>
      </c>
      <c r="M37" s="21" t="n"/>
      <c r="N37" s="21" t="n">
        <v>100</v>
      </c>
      <c r="O37" s="28">
        <f>IF(A37="","",IF(SUMPRODUCT((Plans!$A$3:$A$300=A37)*(Plans!$B$3:$B$300=B37)*(Plans!$C$3:$C$300=C37))=0,"PLAN INCONNU","ok"))</f>
        <v/>
      </c>
    </row>
    <row r="38">
      <c r="A38" s="16" t="inlineStr">
        <is>
          <t>1-step</t>
        </is>
      </c>
      <c r="B38" s="21" t="n">
        <v>25000</v>
      </c>
      <c r="C38" s="16" t="n"/>
      <c r="D38" s="16" t="inlineStr">
        <is>
          <t>evaluation</t>
        </is>
      </c>
      <c r="E38" s="21" t="n">
        <v>2500</v>
      </c>
      <c r="F38" s="21" t="n">
        <v>1500</v>
      </c>
      <c r="G38" s="16" t="inlineStr">
        <is>
          <t>Static</t>
        </is>
      </c>
      <c r="H38" s="21" t="n">
        <v>1000</v>
      </c>
      <c r="I38" s="23" t="n">
        <v>3</v>
      </c>
      <c r="J38" s="31" t="inlineStr">
        <is>
          <t>aucune</t>
        </is>
      </c>
      <c r="K38" s="23" t="n"/>
      <c r="L38" s="31" t="n"/>
      <c r="M38" s="21" t="n"/>
      <c r="N38" s="21" t="n"/>
      <c r="O38" s="28">
        <f>IF(A38="","",IF(SUMPRODUCT((Plans!$A$3:$A$300=A38)*(Plans!$B$3:$B$300=B38)*(Plans!$C$3:$C$300=C38))=0,"PLAN INCONNU","ok"))</f>
        <v/>
      </c>
    </row>
    <row r="39">
      <c r="A39" s="16" t="inlineStr">
        <is>
          <t>1-step</t>
        </is>
      </c>
      <c r="B39" s="21" t="n">
        <v>25000</v>
      </c>
      <c r="C39" s="16" t="n"/>
      <c r="D39" s="16" t="inlineStr">
        <is>
          <t>funded</t>
        </is>
      </c>
      <c r="E39" s="21" t="n"/>
      <c r="F39" s="21" t="n">
        <v>1500</v>
      </c>
      <c r="G39" s="16" t="inlineStr">
        <is>
          <t>Static</t>
        </is>
      </c>
      <c r="H39" s="21" t="n">
        <v>1000</v>
      </c>
      <c r="I39" s="23" t="n">
        <v>3</v>
      </c>
      <c r="J39" s="31" t="inlineStr">
        <is>
          <t>aucune</t>
        </is>
      </c>
      <c r="K39" s="23" t="n"/>
      <c r="L39" s="31" t="n">
        <v>0.8</v>
      </c>
      <c r="M39" s="21" t="n"/>
      <c r="N39" s="21" t="n">
        <v>100</v>
      </c>
      <c r="O39" s="28">
        <f>IF(A39="","",IF(SUMPRODUCT((Plans!$A$3:$A$300=A39)*(Plans!$B$3:$B$300=B39)*(Plans!$C$3:$C$300=C39))=0,"PLAN INCONNU","ok"))</f>
        <v/>
      </c>
    </row>
    <row r="40">
      <c r="A40" s="16" t="inlineStr">
        <is>
          <t>1-step</t>
        </is>
      </c>
      <c r="B40" s="21" t="n">
        <v>50000</v>
      </c>
      <c r="C40" s="16" t="n"/>
      <c r="D40" s="16" t="inlineStr">
        <is>
          <t>evaluation</t>
        </is>
      </c>
      <c r="E40" s="21" t="n">
        <v>5000</v>
      </c>
      <c r="F40" s="21" t="n">
        <v>3000</v>
      </c>
      <c r="G40" s="16" t="inlineStr">
        <is>
          <t>Static</t>
        </is>
      </c>
      <c r="H40" s="21" t="n">
        <v>2000</v>
      </c>
      <c r="I40" s="23" t="n">
        <v>3</v>
      </c>
      <c r="J40" s="31" t="inlineStr">
        <is>
          <t>aucune</t>
        </is>
      </c>
      <c r="K40" s="23" t="n"/>
      <c r="L40" s="31" t="n"/>
      <c r="M40" s="21" t="n"/>
      <c r="N40" s="21" t="n"/>
      <c r="O40" s="28">
        <f>IF(A40="","",IF(SUMPRODUCT((Plans!$A$3:$A$300=A40)*(Plans!$B$3:$B$300=B40)*(Plans!$C$3:$C$300=C40))=0,"PLAN INCONNU","ok"))</f>
        <v/>
      </c>
    </row>
    <row r="41">
      <c r="A41" s="16" t="inlineStr">
        <is>
          <t>1-step</t>
        </is>
      </c>
      <c r="B41" s="21" t="n">
        <v>50000</v>
      </c>
      <c r="C41" s="16" t="n"/>
      <c r="D41" s="16" t="inlineStr">
        <is>
          <t>funded</t>
        </is>
      </c>
      <c r="E41" s="21" t="n"/>
      <c r="F41" s="21" t="n">
        <v>3000</v>
      </c>
      <c r="G41" s="16" t="inlineStr">
        <is>
          <t>Static</t>
        </is>
      </c>
      <c r="H41" s="21" t="n">
        <v>2000</v>
      </c>
      <c r="I41" s="23" t="n">
        <v>3</v>
      </c>
      <c r="J41" s="31" t="inlineStr">
        <is>
          <t>aucune</t>
        </is>
      </c>
      <c r="K41" s="23" t="n"/>
      <c r="L41" s="31" t="n">
        <v>0.8</v>
      </c>
      <c r="M41" s="21" t="n"/>
      <c r="N41" s="21" t="n">
        <v>100</v>
      </c>
      <c r="O41" s="28">
        <f>IF(A41="","",IF(SUMPRODUCT((Plans!$A$3:$A$300=A41)*(Plans!$B$3:$B$300=B41)*(Plans!$C$3:$C$300=C41))=0,"PLAN INCONNU","ok"))</f>
        <v/>
      </c>
    </row>
    <row r="42">
      <c r="A42" s="16" t="inlineStr">
        <is>
          <t>1-step</t>
        </is>
      </c>
      <c r="B42" s="21" t="n">
        <v>100000</v>
      </c>
      <c r="C42" s="16" t="n"/>
      <c r="D42" s="16" t="inlineStr">
        <is>
          <t>evaluation</t>
        </is>
      </c>
      <c r="E42" s="21" t="n">
        <v>10000</v>
      </c>
      <c r="F42" s="21" t="n">
        <v>6000</v>
      </c>
      <c r="G42" s="16" t="inlineStr">
        <is>
          <t>Static</t>
        </is>
      </c>
      <c r="H42" s="21" t="n">
        <v>4000</v>
      </c>
      <c r="I42" s="23" t="n">
        <v>3</v>
      </c>
      <c r="J42" s="31" t="inlineStr">
        <is>
          <t>aucune</t>
        </is>
      </c>
      <c r="K42" s="23" t="n"/>
      <c r="L42" s="31" t="n"/>
      <c r="M42" s="21" t="n"/>
      <c r="N42" s="21" t="n"/>
      <c r="O42" s="28">
        <f>IF(A42="","",IF(SUMPRODUCT((Plans!$A$3:$A$300=A42)*(Plans!$B$3:$B$300=B42)*(Plans!$C$3:$C$300=C42))=0,"PLAN INCONNU","ok"))</f>
        <v/>
      </c>
    </row>
    <row r="43">
      <c r="A43" s="16" t="inlineStr">
        <is>
          <t>1-step</t>
        </is>
      </c>
      <c r="B43" s="21" t="n">
        <v>100000</v>
      </c>
      <c r="C43" s="16" t="n"/>
      <c r="D43" s="16" t="inlineStr">
        <is>
          <t>funded</t>
        </is>
      </c>
      <c r="E43" s="21" t="n"/>
      <c r="F43" s="21" t="n">
        <v>6000</v>
      </c>
      <c r="G43" s="16" t="inlineStr">
        <is>
          <t>Static</t>
        </is>
      </c>
      <c r="H43" s="21" t="n">
        <v>4000</v>
      </c>
      <c r="I43" s="23" t="n">
        <v>3</v>
      </c>
      <c r="J43" s="31" t="inlineStr">
        <is>
          <t>aucune</t>
        </is>
      </c>
      <c r="K43" s="23" t="n"/>
      <c r="L43" s="31" t="n">
        <v>0.8</v>
      </c>
      <c r="M43" s="21" t="n"/>
      <c r="N43" s="21" t="n">
        <v>100</v>
      </c>
      <c r="O43" s="28">
        <f>IF(A43="","",IF(SUMPRODUCT((Plans!$A$3:$A$300=A43)*(Plans!$B$3:$B$300=B43)*(Plans!$C$3:$C$300=C43))=0,"PLAN INCONNU","ok"))</f>
        <v/>
      </c>
    </row>
    <row r="44">
      <c r="A44" s="16" t="inlineStr">
        <is>
          <t>1-step</t>
        </is>
      </c>
      <c r="B44" s="21" t="n">
        <v>200000</v>
      </c>
      <c r="C44" s="16" t="n"/>
      <c r="D44" s="16" t="inlineStr">
        <is>
          <t>evaluation</t>
        </is>
      </c>
      <c r="E44" s="21" t="n">
        <v>20000</v>
      </c>
      <c r="F44" s="21" t="n">
        <v>12000</v>
      </c>
      <c r="G44" s="16" t="inlineStr">
        <is>
          <t>Static</t>
        </is>
      </c>
      <c r="H44" s="21" t="n">
        <v>8000</v>
      </c>
      <c r="I44" s="23" t="n">
        <v>3</v>
      </c>
      <c r="J44" s="31" t="inlineStr">
        <is>
          <t>aucune</t>
        </is>
      </c>
      <c r="K44" s="23" t="n"/>
      <c r="L44" s="31" t="n"/>
      <c r="M44" s="21" t="n"/>
      <c r="N44" s="21" t="n"/>
      <c r="O44" s="28">
        <f>IF(A44="","",IF(SUMPRODUCT((Plans!$A$3:$A$300=A44)*(Plans!$B$3:$B$300=B44)*(Plans!$C$3:$C$300=C44))=0,"PLAN INCONNU","ok"))</f>
        <v/>
      </c>
    </row>
    <row r="45">
      <c r="A45" s="16" t="inlineStr">
        <is>
          <t>1-step</t>
        </is>
      </c>
      <c r="B45" s="21" t="n">
        <v>200000</v>
      </c>
      <c r="C45" s="16" t="n"/>
      <c r="D45" s="16" t="inlineStr">
        <is>
          <t>funded</t>
        </is>
      </c>
      <c r="E45" s="21" t="n"/>
      <c r="F45" s="21" t="n">
        <v>12000</v>
      </c>
      <c r="G45" s="16" t="inlineStr">
        <is>
          <t>Static</t>
        </is>
      </c>
      <c r="H45" s="21" t="n">
        <v>8000</v>
      </c>
      <c r="I45" s="23" t="n">
        <v>3</v>
      </c>
      <c r="J45" s="31" t="inlineStr">
        <is>
          <t>aucune</t>
        </is>
      </c>
      <c r="K45" s="23" t="n"/>
      <c r="L45" s="31" t="n">
        <v>0.8</v>
      </c>
      <c r="M45" s="21" t="n"/>
      <c r="N45" s="21" t="n">
        <v>100</v>
      </c>
      <c r="O45" s="28">
        <f>IF(A45="","",IF(SUMPRODUCT((Plans!$A$3:$A$300=A45)*(Plans!$B$3:$B$300=B45)*(Plans!$C$3:$C$300=C45))=0,"PLAN INCONNU","ok"))</f>
        <v/>
      </c>
    </row>
    <row r="46">
      <c r="A46" s="16" t="inlineStr">
        <is>
          <t>synthetic</t>
        </is>
      </c>
      <c r="B46" s="21" t="n">
        <v>5000</v>
      </c>
      <c r="C46" s="16" t="n"/>
      <c r="D46" s="16" t="inlineStr">
        <is>
          <t>evaluation</t>
        </is>
      </c>
      <c r="E46" s="21" t="n">
        <v>500</v>
      </c>
      <c r="F46" s="21" t="n">
        <v>500</v>
      </c>
      <c r="G46" s="16" t="inlineStr">
        <is>
          <t>Static</t>
        </is>
      </c>
      <c r="H46" s="21" t="n">
        <v>200</v>
      </c>
      <c r="I46" s="23" t="n">
        <v>3</v>
      </c>
      <c r="J46" s="31" t="inlineStr">
        <is>
          <t>aucune</t>
        </is>
      </c>
      <c r="K46" s="23" t="n"/>
      <c r="L46" s="31" t="n"/>
      <c r="M46" s="21" t="n"/>
      <c r="N46" s="21" t="n"/>
      <c r="O46" s="28">
        <f>IF(A46="","",IF(SUMPRODUCT((Plans!$A$3:$A$300=A46)*(Plans!$B$3:$B$300=B46)*(Plans!$C$3:$C$300=C46))=0,"PLAN INCONNU","ok"))</f>
        <v/>
      </c>
    </row>
    <row r="47">
      <c r="A47" s="16" t="inlineStr">
        <is>
          <t>synthetic</t>
        </is>
      </c>
      <c r="B47" s="21" t="n">
        <v>5000</v>
      </c>
      <c r="C47" s="16" t="n"/>
      <c r="D47" s="16" t="inlineStr">
        <is>
          <t>evaluation_2</t>
        </is>
      </c>
      <c r="E47" s="21" t="n">
        <v>250</v>
      </c>
      <c r="F47" s="21" t="n">
        <v>500</v>
      </c>
      <c r="G47" s="16" t="inlineStr">
        <is>
          <t>Static</t>
        </is>
      </c>
      <c r="H47" s="21" t="n">
        <v>200</v>
      </c>
      <c r="I47" s="23" t="n">
        <v>3</v>
      </c>
      <c r="J47" s="31" t="inlineStr">
        <is>
          <t>aucune</t>
        </is>
      </c>
      <c r="K47" s="23" t="n"/>
      <c r="L47" s="31" t="n"/>
      <c r="M47" s="21" t="n"/>
      <c r="N47" s="21" t="n"/>
      <c r="O47" s="28">
        <f>IF(A47="","",IF(SUMPRODUCT((Plans!$A$3:$A$300=A47)*(Plans!$B$3:$B$300=B47)*(Plans!$C$3:$C$300=C47))=0,"PLAN INCONNU","ok"))</f>
        <v/>
      </c>
    </row>
    <row r="48">
      <c r="A48" s="16" t="inlineStr">
        <is>
          <t>synthetic</t>
        </is>
      </c>
      <c r="B48" s="21" t="n">
        <v>5000</v>
      </c>
      <c r="C48" s="16" t="n"/>
      <c r="D48" s="16" t="inlineStr">
        <is>
          <t>funded</t>
        </is>
      </c>
      <c r="E48" s="21" t="n"/>
      <c r="F48" s="21" t="n">
        <v>500</v>
      </c>
      <c r="G48" s="16" t="inlineStr">
        <is>
          <t>Static</t>
        </is>
      </c>
      <c r="H48" s="21" t="n">
        <v>200</v>
      </c>
      <c r="I48" s="23" t="n">
        <v>3</v>
      </c>
      <c r="J48" s="31" t="n">
        <v>0.3</v>
      </c>
      <c r="K48" s="23" t="n"/>
      <c r="L48" s="31" t="n">
        <v>0.8</v>
      </c>
      <c r="M48" s="21" t="n"/>
      <c r="N48" s="21" t="n">
        <v>200</v>
      </c>
      <c r="O48" s="28">
        <f>IF(A48="","",IF(SUMPRODUCT((Plans!$A$3:$A$300=A48)*(Plans!$B$3:$B$300=B48)*(Plans!$C$3:$C$300=C48))=0,"PLAN INCONNU","ok"))</f>
        <v/>
      </c>
    </row>
    <row r="49">
      <c r="A49" s="16" t="inlineStr">
        <is>
          <t>synthetic</t>
        </is>
      </c>
      <c r="B49" s="21" t="n">
        <v>10000</v>
      </c>
      <c r="C49" s="16" t="n"/>
      <c r="D49" s="16" t="inlineStr">
        <is>
          <t>evaluation</t>
        </is>
      </c>
      <c r="E49" s="21" t="n">
        <v>1000</v>
      </c>
      <c r="F49" s="21" t="n">
        <v>1000</v>
      </c>
      <c r="G49" s="16" t="inlineStr">
        <is>
          <t>Static</t>
        </is>
      </c>
      <c r="H49" s="21" t="n">
        <v>400</v>
      </c>
      <c r="I49" s="23" t="n">
        <v>3</v>
      </c>
      <c r="J49" s="31" t="inlineStr">
        <is>
          <t>aucune</t>
        </is>
      </c>
      <c r="K49" s="23" t="n"/>
      <c r="L49" s="31" t="n"/>
      <c r="M49" s="21" t="n"/>
      <c r="N49" s="21" t="n"/>
      <c r="O49" s="28">
        <f>IF(A49="","",IF(SUMPRODUCT((Plans!$A$3:$A$300=A49)*(Plans!$B$3:$B$300=B49)*(Plans!$C$3:$C$300=C49))=0,"PLAN INCONNU","ok"))</f>
        <v/>
      </c>
    </row>
    <row r="50">
      <c r="A50" s="16" t="inlineStr">
        <is>
          <t>synthetic</t>
        </is>
      </c>
      <c r="B50" s="21" t="n">
        <v>10000</v>
      </c>
      <c r="C50" s="16" t="n"/>
      <c r="D50" s="16" t="inlineStr">
        <is>
          <t>evaluation_2</t>
        </is>
      </c>
      <c r="E50" s="21" t="n">
        <v>500</v>
      </c>
      <c r="F50" s="21" t="n">
        <v>1000</v>
      </c>
      <c r="G50" s="16" t="inlineStr">
        <is>
          <t>Static</t>
        </is>
      </c>
      <c r="H50" s="21" t="n">
        <v>400</v>
      </c>
      <c r="I50" s="23" t="n">
        <v>3</v>
      </c>
      <c r="J50" s="31" t="inlineStr">
        <is>
          <t>aucune</t>
        </is>
      </c>
      <c r="K50" s="23" t="n"/>
      <c r="L50" s="31" t="n"/>
      <c r="M50" s="21" t="n"/>
      <c r="N50" s="21" t="n"/>
      <c r="O50" s="28">
        <f>IF(A50="","",IF(SUMPRODUCT((Plans!$A$3:$A$300=A50)*(Plans!$B$3:$B$300=B50)*(Plans!$C$3:$C$300=C50))=0,"PLAN INCONNU","ok"))</f>
        <v/>
      </c>
    </row>
    <row r="51">
      <c r="A51" s="16" t="inlineStr">
        <is>
          <t>synthetic</t>
        </is>
      </c>
      <c r="B51" s="21" t="n">
        <v>10000</v>
      </c>
      <c r="C51" s="16" t="n"/>
      <c r="D51" s="16" t="inlineStr">
        <is>
          <t>funded</t>
        </is>
      </c>
      <c r="E51" s="21" t="n"/>
      <c r="F51" s="21" t="n">
        <v>1000</v>
      </c>
      <c r="G51" s="16" t="inlineStr">
        <is>
          <t>Static</t>
        </is>
      </c>
      <c r="H51" s="21" t="n">
        <v>400</v>
      </c>
      <c r="I51" s="23" t="n">
        <v>3</v>
      </c>
      <c r="J51" s="31" t="n">
        <v>0.3</v>
      </c>
      <c r="K51" s="23" t="n"/>
      <c r="L51" s="31" t="n">
        <v>0.8</v>
      </c>
      <c r="M51" s="21" t="n"/>
      <c r="N51" s="21" t="n">
        <v>200</v>
      </c>
      <c r="O51" s="28">
        <f>IF(A51="","",IF(SUMPRODUCT((Plans!$A$3:$A$300=A51)*(Plans!$B$3:$B$300=B51)*(Plans!$C$3:$C$300=C51))=0,"PLAN INCONNU","ok"))</f>
        <v/>
      </c>
    </row>
    <row r="52">
      <c r="A52" s="16" t="inlineStr">
        <is>
          <t>synthetic</t>
        </is>
      </c>
      <c r="B52" s="21" t="n">
        <v>25000</v>
      </c>
      <c r="C52" s="16" t="n"/>
      <c r="D52" s="16" t="inlineStr">
        <is>
          <t>evaluation</t>
        </is>
      </c>
      <c r="E52" s="21" t="n">
        <v>2500</v>
      </c>
      <c r="F52" s="21" t="n">
        <v>2500</v>
      </c>
      <c r="G52" s="16" t="inlineStr">
        <is>
          <t>Static</t>
        </is>
      </c>
      <c r="H52" s="21" t="n">
        <v>1000</v>
      </c>
      <c r="I52" s="23" t="n">
        <v>3</v>
      </c>
      <c r="J52" s="31" t="inlineStr">
        <is>
          <t>aucune</t>
        </is>
      </c>
      <c r="K52" s="23" t="n"/>
      <c r="L52" s="31" t="n"/>
      <c r="M52" s="21" t="n"/>
      <c r="N52" s="21" t="n"/>
      <c r="O52" s="28">
        <f>IF(A52="","",IF(SUMPRODUCT((Plans!$A$3:$A$300=A52)*(Plans!$B$3:$B$300=B52)*(Plans!$C$3:$C$300=C52))=0,"PLAN INCONNU","ok"))</f>
        <v/>
      </c>
    </row>
    <row r="53">
      <c r="A53" s="16" t="inlineStr">
        <is>
          <t>synthetic</t>
        </is>
      </c>
      <c r="B53" s="21" t="n">
        <v>25000</v>
      </c>
      <c r="C53" s="16" t="n"/>
      <c r="D53" s="16" t="inlineStr">
        <is>
          <t>evaluation_2</t>
        </is>
      </c>
      <c r="E53" s="21" t="n">
        <v>1250</v>
      </c>
      <c r="F53" s="21" t="n">
        <v>2500</v>
      </c>
      <c r="G53" s="16" t="inlineStr">
        <is>
          <t>Static</t>
        </is>
      </c>
      <c r="H53" s="21" t="n">
        <v>1000</v>
      </c>
      <c r="I53" s="23" t="n">
        <v>3</v>
      </c>
      <c r="J53" s="31" t="inlineStr">
        <is>
          <t>aucune</t>
        </is>
      </c>
      <c r="K53" s="23" t="n"/>
      <c r="L53" s="31" t="n"/>
      <c r="M53" s="21" t="n"/>
      <c r="N53" s="21" t="n"/>
      <c r="O53" s="28">
        <f>IF(A53="","",IF(SUMPRODUCT((Plans!$A$3:$A$300=A53)*(Plans!$B$3:$B$300=B53)*(Plans!$C$3:$C$300=C53))=0,"PLAN INCONNU","ok"))</f>
        <v/>
      </c>
    </row>
    <row r="54">
      <c r="A54" s="16" t="inlineStr">
        <is>
          <t>synthetic</t>
        </is>
      </c>
      <c r="B54" s="21" t="n">
        <v>25000</v>
      </c>
      <c r="C54" s="16" t="n"/>
      <c r="D54" s="16" t="inlineStr">
        <is>
          <t>funded</t>
        </is>
      </c>
      <c r="E54" s="21" t="n"/>
      <c r="F54" s="21" t="n">
        <v>2500</v>
      </c>
      <c r="G54" s="16" t="inlineStr">
        <is>
          <t>Static</t>
        </is>
      </c>
      <c r="H54" s="21" t="n">
        <v>1000</v>
      </c>
      <c r="I54" s="23" t="n">
        <v>3</v>
      </c>
      <c r="J54" s="31" t="n">
        <v>0.3</v>
      </c>
      <c r="K54" s="23" t="n"/>
      <c r="L54" s="31" t="n">
        <v>0.8</v>
      </c>
      <c r="M54" s="21" t="n"/>
      <c r="N54" s="21" t="n">
        <v>200</v>
      </c>
      <c r="O54" s="28">
        <f>IF(A54="","",IF(SUMPRODUCT((Plans!$A$3:$A$300=A54)*(Plans!$B$3:$B$300=B54)*(Plans!$C$3:$C$300=C54))=0,"PLAN INCONNU","ok"))</f>
        <v/>
      </c>
    </row>
    <row r="55">
      <c r="A55" s="16" t="inlineStr">
        <is>
          <t>synthetic</t>
        </is>
      </c>
      <c r="B55" s="21" t="n">
        <v>50000</v>
      </c>
      <c r="C55" s="16" t="n"/>
      <c r="D55" s="16" t="inlineStr">
        <is>
          <t>evaluation</t>
        </is>
      </c>
      <c r="E55" s="21" t="n">
        <v>5000</v>
      </c>
      <c r="F55" s="21" t="n">
        <v>5000</v>
      </c>
      <c r="G55" s="16" t="inlineStr">
        <is>
          <t>Static</t>
        </is>
      </c>
      <c r="H55" s="21" t="n">
        <v>2000</v>
      </c>
      <c r="I55" s="23" t="n">
        <v>3</v>
      </c>
      <c r="J55" s="31" t="inlineStr">
        <is>
          <t>aucune</t>
        </is>
      </c>
      <c r="K55" s="23" t="n"/>
      <c r="L55" s="31" t="n"/>
      <c r="M55" s="21" t="n"/>
      <c r="N55" s="21" t="n"/>
      <c r="O55" s="28">
        <f>IF(A55="","",IF(SUMPRODUCT((Plans!$A$3:$A$300=A55)*(Plans!$B$3:$B$300=B55)*(Plans!$C$3:$C$300=C55))=0,"PLAN INCONNU","ok"))</f>
        <v/>
      </c>
    </row>
    <row r="56">
      <c r="A56" s="16" t="inlineStr">
        <is>
          <t>synthetic</t>
        </is>
      </c>
      <c r="B56" s="21" t="n">
        <v>50000</v>
      </c>
      <c r="C56" s="16" t="n"/>
      <c r="D56" s="16" t="inlineStr">
        <is>
          <t>evaluation_2</t>
        </is>
      </c>
      <c r="E56" s="21" t="n">
        <v>2500</v>
      </c>
      <c r="F56" s="21" t="n">
        <v>5000</v>
      </c>
      <c r="G56" s="16" t="inlineStr">
        <is>
          <t>Static</t>
        </is>
      </c>
      <c r="H56" s="21" t="n">
        <v>2000</v>
      </c>
      <c r="I56" s="23" t="n">
        <v>3</v>
      </c>
      <c r="J56" s="31" t="inlineStr">
        <is>
          <t>aucune</t>
        </is>
      </c>
      <c r="K56" s="23" t="n"/>
      <c r="L56" s="31" t="n"/>
      <c r="M56" s="21" t="n"/>
      <c r="N56" s="21" t="n"/>
      <c r="O56" s="28">
        <f>IF(A56="","",IF(SUMPRODUCT((Plans!$A$3:$A$300=A56)*(Plans!$B$3:$B$300=B56)*(Plans!$C$3:$C$300=C56))=0,"PLAN INCONNU","ok"))</f>
        <v/>
      </c>
    </row>
    <row r="57">
      <c r="A57" s="16" t="inlineStr">
        <is>
          <t>synthetic</t>
        </is>
      </c>
      <c r="B57" s="21" t="n">
        <v>50000</v>
      </c>
      <c r="C57" s="16" t="n"/>
      <c r="D57" s="16" t="inlineStr">
        <is>
          <t>funded</t>
        </is>
      </c>
      <c r="E57" s="21" t="n"/>
      <c r="F57" s="21" t="n">
        <v>5000</v>
      </c>
      <c r="G57" s="16" t="inlineStr">
        <is>
          <t>Static</t>
        </is>
      </c>
      <c r="H57" s="21" t="n">
        <v>2000</v>
      </c>
      <c r="I57" s="23" t="n">
        <v>3</v>
      </c>
      <c r="J57" s="31" t="n">
        <v>0.3</v>
      </c>
      <c r="K57" s="23" t="n"/>
      <c r="L57" s="31" t="n">
        <v>0.8</v>
      </c>
      <c r="M57" s="21" t="n"/>
      <c r="N57" s="21" t="n">
        <v>200</v>
      </c>
      <c r="O57" s="28">
        <f>IF(A57="","",IF(SUMPRODUCT((Plans!$A$3:$A$300=A57)*(Plans!$B$3:$B$300=B57)*(Plans!$C$3:$C$300=C57))=0,"PLAN INCONNU","ok"))</f>
        <v/>
      </c>
    </row>
    <row r="58">
      <c r="A58" s="16" t="inlineStr">
        <is>
          <t>synthetic</t>
        </is>
      </c>
      <c r="B58" s="21" t="n">
        <v>100000</v>
      </c>
      <c r="C58" s="16" t="n"/>
      <c r="D58" s="16" t="inlineStr">
        <is>
          <t>evaluation</t>
        </is>
      </c>
      <c r="E58" s="21" t="n">
        <v>10000</v>
      </c>
      <c r="F58" s="21" t="n">
        <v>10000</v>
      </c>
      <c r="G58" s="16" t="inlineStr">
        <is>
          <t>Static</t>
        </is>
      </c>
      <c r="H58" s="21" t="n">
        <v>4000</v>
      </c>
      <c r="I58" s="23" t="n">
        <v>3</v>
      </c>
      <c r="J58" s="31" t="inlineStr">
        <is>
          <t>aucune</t>
        </is>
      </c>
      <c r="K58" s="23" t="n"/>
      <c r="L58" s="31" t="n"/>
      <c r="M58" s="21" t="n"/>
      <c r="N58" s="21" t="n"/>
      <c r="O58" s="28">
        <f>IF(A58="","",IF(SUMPRODUCT((Plans!$A$3:$A$300=A58)*(Plans!$B$3:$B$300=B58)*(Plans!$C$3:$C$300=C58))=0,"PLAN INCONNU","ok"))</f>
        <v/>
      </c>
    </row>
    <row r="59">
      <c r="A59" s="16" t="inlineStr">
        <is>
          <t>synthetic</t>
        </is>
      </c>
      <c r="B59" s="21" t="n">
        <v>100000</v>
      </c>
      <c r="C59" s="16" t="n"/>
      <c r="D59" s="16" t="inlineStr">
        <is>
          <t>evaluation_2</t>
        </is>
      </c>
      <c r="E59" s="21" t="n">
        <v>5000</v>
      </c>
      <c r="F59" s="21" t="n">
        <v>10000</v>
      </c>
      <c r="G59" s="16" t="inlineStr">
        <is>
          <t>Static</t>
        </is>
      </c>
      <c r="H59" s="21" t="n">
        <v>4000</v>
      </c>
      <c r="I59" s="23" t="n">
        <v>3</v>
      </c>
      <c r="J59" s="31" t="inlineStr">
        <is>
          <t>aucune</t>
        </is>
      </c>
      <c r="K59" s="23" t="n"/>
      <c r="L59" s="31" t="n"/>
      <c r="M59" s="21" t="n"/>
      <c r="N59" s="21" t="n"/>
      <c r="O59" s="28">
        <f>IF(A59="","",IF(SUMPRODUCT((Plans!$A$3:$A$300=A59)*(Plans!$B$3:$B$300=B59)*(Plans!$C$3:$C$300=C59))=0,"PLAN INCONNU","ok"))</f>
        <v/>
      </c>
    </row>
    <row r="60">
      <c r="A60" s="16" t="inlineStr">
        <is>
          <t>synthetic</t>
        </is>
      </c>
      <c r="B60" s="21" t="n">
        <v>100000</v>
      </c>
      <c r="C60" s="16" t="n"/>
      <c r="D60" s="16" t="inlineStr">
        <is>
          <t>funded</t>
        </is>
      </c>
      <c r="E60" s="21" t="n"/>
      <c r="F60" s="21" t="n">
        <v>10000</v>
      </c>
      <c r="G60" s="16" t="inlineStr">
        <is>
          <t>Static</t>
        </is>
      </c>
      <c r="H60" s="21" t="n">
        <v>4000</v>
      </c>
      <c r="I60" s="23" t="n">
        <v>3</v>
      </c>
      <c r="J60" s="31" t="n">
        <v>0.3</v>
      </c>
      <c r="K60" s="23" t="n"/>
      <c r="L60" s="31" t="n">
        <v>0.8</v>
      </c>
      <c r="M60" s="21" t="n"/>
      <c r="N60" s="21" t="n">
        <v>200</v>
      </c>
      <c r="O60" s="28">
        <f>IF(A60="","",IF(SUMPRODUCT((Plans!$A$3:$A$300=A60)*(Plans!$B$3:$B$300=B60)*(Plans!$C$3:$C$300=C60))=0,"PLAN INCONNU","ok"))</f>
        <v/>
      </c>
    </row>
    <row r="61">
      <c r="A61" s="16" t="inlineStr">
        <is>
          <t>instant-elite</t>
        </is>
      </c>
      <c r="B61" s="21" t="n">
        <v>2500</v>
      </c>
      <c r="C61" s="16" t="n"/>
      <c r="D61" s="16" t="inlineStr">
        <is>
          <t>funded</t>
        </is>
      </c>
      <c r="E61" s="21" t="n"/>
      <c r="F61" s="21" t="n">
        <v>250</v>
      </c>
      <c r="G61" s="16" t="inlineStr">
        <is>
          <t>Trailing Equity</t>
        </is>
      </c>
      <c r="H61" s="21" t="inlineStr">
        <is>
          <t>aucune</t>
        </is>
      </c>
      <c r="I61" s="23" t="n">
        <v>5</v>
      </c>
      <c r="J61" s="31" t="inlineStr">
        <is>
          <t>aucune</t>
        </is>
      </c>
      <c r="K61" s="23" t="n"/>
      <c r="L61" s="31" t="n">
        <v>0.8</v>
      </c>
      <c r="M61" s="21" t="n"/>
      <c r="N61" s="21" t="n">
        <v>100</v>
      </c>
      <c r="O61" s="28">
        <f>IF(A61="","",IF(SUMPRODUCT((Plans!$A$3:$A$300=A61)*(Plans!$B$3:$B$300=B61)*(Plans!$C$3:$C$300=C61))=0,"PLAN INCONNU","ok"))</f>
        <v/>
      </c>
    </row>
    <row r="62">
      <c r="A62" s="16" t="inlineStr">
        <is>
          <t>instant-elite</t>
        </is>
      </c>
      <c r="B62" s="21" t="n">
        <v>5000</v>
      </c>
      <c r="C62" s="16" t="n"/>
      <c r="D62" s="16" t="inlineStr">
        <is>
          <t>funded</t>
        </is>
      </c>
      <c r="E62" s="21" t="n"/>
      <c r="F62" s="21" t="n">
        <v>500</v>
      </c>
      <c r="G62" s="16" t="inlineStr">
        <is>
          <t>Trailing Equity</t>
        </is>
      </c>
      <c r="H62" s="21" t="inlineStr">
        <is>
          <t>aucune</t>
        </is>
      </c>
      <c r="I62" s="23" t="n">
        <v>5</v>
      </c>
      <c r="J62" s="31" t="inlineStr">
        <is>
          <t>aucune</t>
        </is>
      </c>
      <c r="K62" s="23" t="n"/>
      <c r="L62" s="31" t="n">
        <v>0.8</v>
      </c>
      <c r="M62" s="21" t="n"/>
      <c r="N62" s="21" t="n">
        <v>100</v>
      </c>
      <c r="O62" s="28">
        <f>IF(A62="","",IF(SUMPRODUCT((Plans!$A$3:$A$300=A62)*(Plans!$B$3:$B$300=B62)*(Plans!$C$3:$C$300=C62))=0,"PLAN INCONNU","ok"))</f>
        <v/>
      </c>
    </row>
    <row r="63">
      <c r="A63" s="16" t="inlineStr">
        <is>
          <t>instant-elite</t>
        </is>
      </c>
      <c r="B63" s="21" t="n">
        <v>10000</v>
      </c>
      <c r="C63" s="16" t="n"/>
      <c r="D63" s="16" t="inlineStr">
        <is>
          <t>funded</t>
        </is>
      </c>
      <c r="E63" s="21" t="n"/>
      <c r="F63" s="21" t="n">
        <v>1000</v>
      </c>
      <c r="G63" s="16" t="inlineStr">
        <is>
          <t>Trailing Equity</t>
        </is>
      </c>
      <c r="H63" s="21" t="inlineStr">
        <is>
          <t>aucune</t>
        </is>
      </c>
      <c r="I63" s="23" t="n">
        <v>5</v>
      </c>
      <c r="J63" s="31" t="inlineStr">
        <is>
          <t>aucune</t>
        </is>
      </c>
      <c r="K63" s="23" t="n"/>
      <c r="L63" s="31" t="n">
        <v>0.8</v>
      </c>
      <c r="M63" s="21" t="n"/>
      <c r="N63" s="21" t="n">
        <v>100</v>
      </c>
      <c r="O63" s="28">
        <f>IF(A63="","",IF(SUMPRODUCT((Plans!$A$3:$A$300=A63)*(Plans!$B$3:$B$300=B63)*(Plans!$C$3:$C$300=C63))=0,"PLAN INCONNU","ok"))</f>
        <v/>
      </c>
    </row>
    <row r="64">
      <c r="A64" s="16" t="inlineStr">
        <is>
          <t>instant-elite</t>
        </is>
      </c>
      <c r="B64" s="21" t="n">
        <v>25000</v>
      </c>
      <c r="C64" s="16" t="n"/>
      <c r="D64" s="16" t="inlineStr">
        <is>
          <t>funded</t>
        </is>
      </c>
      <c r="E64" s="21" t="n"/>
      <c r="F64" s="21" t="n">
        <v>2500</v>
      </c>
      <c r="G64" s="16" t="inlineStr">
        <is>
          <t>Trailing Equity</t>
        </is>
      </c>
      <c r="H64" s="21" t="inlineStr">
        <is>
          <t>aucune</t>
        </is>
      </c>
      <c r="I64" s="23" t="n">
        <v>5</v>
      </c>
      <c r="J64" s="31" t="inlineStr">
        <is>
          <t>aucune</t>
        </is>
      </c>
      <c r="K64" s="23" t="n"/>
      <c r="L64" s="31" t="n">
        <v>0.8</v>
      </c>
      <c r="M64" s="21" t="n"/>
      <c r="N64" s="21" t="n">
        <v>100</v>
      </c>
      <c r="O64" s="28">
        <f>IF(A64="","",IF(SUMPRODUCT((Plans!$A$3:$A$300=A64)*(Plans!$B$3:$B$300=B64)*(Plans!$C$3:$C$300=C64))=0,"PLAN INCONNU","ok"))</f>
        <v/>
      </c>
    </row>
    <row r="65">
      <c r="A65" s="16" t="inlineStr">
        <is>
          <t>instant-elite</t>
        </is>
      </c>
      <c r="B65" s="21" t="n">
        <v>50000</v>
      </c>
      <c r="C65" s="16" t="n"/>
      <c r="D65" s="16" t="inlineStr">
        <is>
          <t>funded</t>
        </is>
      </c>
      <c r="E65" s="21" t="n"/>
      <c r="F65" s="21" t="n">
        <v>5000</v>
      </c>
      <c r="G65" s="16" t="inlineStr">
        <is>
          <t>Trailing Equity</t>
        </is>
      </c>
      <c r="H65" s="21" t="inlineStr">
        <is>
          <t>aucune</t>
        </is>
      </c>
      <c r="I65" s="23" t="n">
        <v>5</v>
      </c>
      <c r="J65" s="31" t="inlineStr">
        <is>
          <t>aucune</t>
        </is>
      </c>
      <c r="K65" s="23" t="n"/>
      <c r="L65" s="31" t="n">
        <v>0.8</v>
      </c>
      <c r="M65" s="21" t="n"/>
      <c r="N65" s="21" t="n">
        <v>100</v>
      </c>
      <c r="O65" s="28">
        <f>IF(A65="","",IF(SUMPRODUCT((Plans!$A$3:$A$300=A65)*(Plans!$B$3:$B$300=B65)*(Plans!$C$3:$C$300=C65))=0,"PLAN INCONNU","ok"))</f>
        <v/>
      </c>
    </row>
    <row r="66">
      <c r="A66" s="16" t="inlineStr">
        <is>
          <t>instant-elite</t>
        </is>
      </c>
      <c r="B66" s="21" t="n">
        <v>100000</v>
      </c>
      <c r="C66" s="16" t="n"/>
      <c r="D66" s="16" t="inlineStr">
        <is>
          <t>funded</t>
        </is>
      </c>
      <c r="E66" s="21" t="n"/>
      <c r="F66" s="21" t="n">
        <v>10000</v>
      </c>
      <c r="G66" s="16" t="inlineStr">
        <is>
          <t>Trailing Equity</t>
        </is>
      </c>
      <c r="H66" s="21" t="inlineStr">
        <is>
          <t>aucune</t>
        </is>
      </c>
      <c r="I66" s="23" t="n">
        <v>5</v>
      </c>
      <c r="J66" s="31" t="inlineStr">
        <is>
          <t>aucune</t>
        </is>
      </c>
      <c r="K66" s="23" t="n"/>
      <c r="L66" s="31" t="n">
        <v>0.8</v>
      </c>
      <c r="M66" s="21" t="n"/>
      <c r="N66" s="21" t="n">
        <v>100</v>
      </c>
      <c r="O66" s="28">
        <f>IF(A66="","",IF(SUMPRODUCT((Plans!$A$3:$A$300=A66)*(Plans!$B$3:$B$300=B66)*(Plans!$C$3:$C$300=C66))=0,"PLAN INCONNU","ok"))</f>
        <v/>
      </c>
    </row>
    <row r="67">
      <c r="A67" s="16" t="inlineStr">
        <is>
          <t>instant-lite</t>
        </is>
      </c>
      <c r="B67" s="21" t="n">
        <v>1250</v>
      </c>
      <c r="C67" s="16" t="n"/>
      <c r="D67" s="16" t="inlineStr">
        <is>
          <t>funded</t>
        </is>
      </c>
      <c r="E67" s="21" t="n"/>
      <c r="F67" s="21" t="n">
        <v>50</v>
      </c>
      <c r="G67" s="16" t="inlineStr">
        <is>
          <t>Trailing Equity</t>
        </is>
      </c>
      <c r="H67" s="21" t="n">
        <v>25</v>
      </c>
      <c r="I67" s="23" t="n">
        <v>0</v>
      </c>
      <c r="J67" s="31" t="n">
        <v>0.15</v>
      </c>
      <c r="K67" s="23" t="n"/>
      <c r="L67" s="31" t="n">
        <v>0.8</v>
      </c>
      <c r="M67" s="21" t="n"/>
      <c r="N67" s="21" t="n">
        <v>100</v>
      </c>
      <c r="O67" s="28">
        <f>IF(A67="","",IF(SUMPRODUCT((Plans!$A$3:$A$300=A67)*(Plans!$B$3:$B$300=B67)*(Plans!$C$3:$C$300=C67))=0,"PLAN INCONNU","ok"))</f>
        <v/>
      </c>
    </row>
    <row r="68">
      <c r="A68" s="16" t="inlineStr">
        <is>
          <t>instant-lite</t>
        </is>
      </c>
      <c r="B68" s="21" t="n">
        <v>2500</v>
      </c>
      <c r="C68" s="16" t="n"/>
      <c r="D68" s="16" t="inlineStr">
        <is>
          <t>funded</t>
        </is>
      </c>
      <c r="E68" s="21" t="n"/>
      <c r="F68" s="21" t="n">
        <v>100</v>
      </c>
      <c r="G68" s="16" t="inlineStr">
        <is>
          <t>Trailing Equity</t>
        </is>
      </c>
      <c r="H68" s="21" t="n">
        <v>50</v>
      </c>
      <c r="I68" s="23" t="n">
        <v>0</v>
      </c>
      <c r="J68" s="31" t="n">
        <v>0.15</v>
      </c>
      <c r="K68" s="23" t="n"/>
      <c r="L68" s="31" t="n">
        <v>0.8</v>
      </c>
      <c r="M68" s="21" t="n"/>
      <c r="N68" s="21" t="n">
        <v>100</v>
      </c>
      <c r="O68" s="28">
        <f>IF(A68="","",IF(SUMPRODUCT((Plans!$A$3:$A$300=A68)*(Plans!$B$3:$B$300=B68)*(Plans!$C$3:$C$300=C68))=0,"PLAN INCONNU","ok"))</f>
        <v/>
      </c>
    </row>
    <row r="69">
      <c r="A69" s="16" t="inlineStr">
        <is>
          <t>instant-lite</t>
        </is>
      </c>
      <c r="B69" s="21" t="n">
        <v>5000</v>
      </c>
      <c r="C69" s="16" t="n"/>
      <c r="D69" s="16" t="inlineStr">
        <is>
          <t>funded</t>
        </is>
      </c>
      <c r="E69" s="21" t="n"/>
      <c r="F69" s="21" t="n">
        <v>200</v>
      </c>
      <c r="G69" s="16" t="inlineStr">
        <is>
          <t>Trailing Equity</t>
        </is>
      </c>
      <c r="H69" s="21" t="n">
        <v>100</v>
      </c>
      <c r="I69" s="23" t="n">
        <v>0</v>
      </c>
      <c r="J69" s="31" t="n">
        <v>0.15</v>
      </c>
      <c r="K69" s="23" t="n"/>
      <c r="L69" s="31" t="n">
        <v>0.8</v>
      </c>
      <c r="M69" s="21" t="n"/>
      <c r="N69" s="21" t="n">
        <v>100</v>
      </c>
      <c r="O69" s="28">
        <f>IF(A69="","",IF(SUMPRODUCT((Plans!$A$3:$A$300=A69)*(Plans!$B$3:$B$300=B69)*(Plans!$C$3:$C$300=C69))=0,"PLAN INCONNU","ok"))</f>
        <v/>
      </c>
    </row>
    <row r="70">
      <c r="A70" s="16" t="inlineStr">
        <is>
          <t>instant-lite</t>
        </is>
      </c>
      <c r="B70" s="21" t="n">
        <v>10000</v>
      </c>
      <c r="C70" s="16" t="n"/>
      <c r="D70" s="16" t="inlineStr">
        <is>
          <t>funded</t>
        </is>
      </c>
      <c r="E70" s="21" t="n"/>
      <c r="F70" s="21" t="n">
        <v>400</v>
      </c>
      <c r="G70" s="16" t="inlineStr">
        <is>
          <t>Trailing Equity</t>
        </is>
      </c>
      <c r="H70" s="21" t="n">
        <v>200</v>
      </c>
      <c r="I70" s="23" t="n">
        <v>0</v>
      </c>
      <c r="J70" s="31" t="n">
        <v>0.15</v>
      </c>
      <c r="K70" s="23" t="n"/>
      <c r="L70" s="31" t="n">
        <v>0.8</v>
      </c>
      <c r="M70" s="21" t="n"/>
      <c r="N70" s="21" t="n">
        <v>100</v>
      </c>
      <c r="O70" s="28">
        <f>IF(A70="","",IF(SUMPRODUCT((Plans!$A$3:$A$300=A70)*(Plans!$B$3:$B$300=B70)*(Plans!$C$3:$C$300=C70))=0,"PLAN INCONNU","ok"))</f>
        <v/>
      </c>
    </row>
    <row r="71">
      <c r="A71" s="16" t="inlineStr">
        <is>
          <t>instant-lite</t>
        </is>
      </c>
      <c r="B71" s="21" t="n">
        <v>25000</v>
      </c>
      <c r="C71" s="16" t="n"/>
      <c r="D71" s="16" t="inlineStr">
        <is>
          <t>funded</t>
        </is>
      </c>
      <c r="E71" s="21" t="n"/>
      <c r="F71" s="21" t="n">
        <v>1000</v>
      </c>
      <c r="G71" s="16" t="inlineStr">
        <is>
          <t>Trailing Equity</t>
        </is>
      </c>
      <c r="H71" s="21" t="n">
        <v>500</v>
      </c>
      <c r="I71" s="23" t="n">
        <v>0</v>
      </c>
      <c r="J71" s="31" t="n">
        <v>0.15</v>
      </c>
      <c r="K71" s="23" t="n"/>
      <c r="L71" s="31" t="n">
        <v>0.8</v>
      </c>
      <c r="M71" s="21" t="n"/>
      <c r="N71" s="21" t="n">
        <v>100</v>
      </c>
      <c r="O71" s="28">
        <f>IF(A71="","",IF(SUMPRODUCT((Plans!$A$3:$A$300=A71)*(Plans!$B$3:$B$300=B71)*(Plans!$C$3:$C$300=C71))=0,"PLAN INCONNU","ok"))</f>
        <v/>
      </c>
    </row>
    <row r="72">
      <c r="A72" s="16" t="inlineStr">
        <is>
          <t>instant-lite</t>
        </is>
      </c>
      <c r="B72" s="21" t="n">
        <v>50000</v>
      </c>
      <c r="C72" s="16" t="n"/>
      <c r="D72" s="16" t="inlineStr">
        <is>
          <t>funded</t>
        </is>
      </c>
      <c r="E72" s="21" t="n"/>
      <c r="F72" s="21" t="n">
        <v>2000</v>
      </c>
      <c r="G72" s="16" t="inlineStr">
        <is>
          <t>Trailing Equity</t>
        </is>
      </c>
      <c r="H72" s="21" t="n">
        <v>1000</v>
      </c>
      <c r="I72" s="23" t="n">
        <v>0</v>
      </c>
      <c r="J72" s="31" t="n">
        <v>0.15</v>
      </c>
      <c r="K72" s="23" t="n"/>
      <c r="L72" s="31" t="n">
        <v>0.8</v>
      </c>
      <c r="M72" s="21" t="n"/>
      <c r="N72" s="21" t="n">
        <v>100</v>
      </c>
      <c r="O72" s="28">
        <f>IF(A72="","",IF(SUMPRODUCT((Plans!$A$3:$A$300=A72)*(Plans!$B$3:$B$300=B72)*(Plans!$C$3:$C$300=C72))=0,"PLAN INCONNU","ok"))</f>
        <v/>
      </c>
    </row>
    <row r="73">
      <c r="A73" s="16" t="inlineStr">
        <is>
          <t>instant-lite</t>
        </is>
      </c>
      <c r="B73" s="21" t="n">
        <v>100000</v>
      </c>
      <c r="C73" s="16" t="n"/>
      <c r="D73" s="16" t="inlineStr">
        <is>
          <t>funded</t>
        </is>
      </c>
      <c r="E73" s="21" t="n"/>
      <c r="F73" s="21" t="n">
        <v>4000</v>
      </c>
      <c r="G73" s="16" t="inlineStr">
        <is>
          <t>Trailing Equity</t>
        </is>
      </c>
      <c r="H73" s="21" t="n">
        <v>2000</v>
      </c>
      <c r="I73" s="23" t="n">
        <v>0</v>
      </c>
      <c r="J73" s="31" t="n">
        <v>0.15</v>
      </c>
      <c r="K73" s="23" t="n"/>
      <c r="L73" s="31" t="n">
        <v>0.8</v>
      </c>
      <c r="M73" s="21" t="n"/>
      <c r="N73" s="21" t="n">
        <v>100</v>
      </c>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13"/>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inlineStr">
        <is>
          <t>SCANNED</t>
        </is>
      </c>
      <c r="C2" s="17" t="inlineStr">
        <is>
          <t>SCANNED</t>
        </is>
      </c>
      <c r="D2" s="18" t="inlineStr">
        <is>
          <t>La case pointillee « [CODE] », en haut et dans « Your selection ».</t>
        </is>
      </c>
    </row>
    <row r="3" ht="44" customHeight="1">
      <c r="A3" s="15" t="inlineStr">
        <is>
          <t>remise</t>
        </is>
      </c>
      <c r="B3" s="31" t="n">
        <v>0.3</v>
      </c>
      <c r="C3" s="30" t="n">
        <v>0.3</v>
      </c>
      <c r="D3" s="18" t="inlineStr">
        <is>
          <t>« [XX]% OFF » et « [XX]% with [CODE] ». En %.</t>
        </is>
      </c>
    </row>
    <row r="4" ht="44" customHeight="1">
      <c r="A4" s="15" t="inlineStr">
        <is>
          <t>portee</t>
        </is>
      </c>
      <c r="B4" s="16" t="inlineStr">
        <is>
          <t>universelle_verifiee</t>
        </is>
      </c>
      <c r="C4" s="17" t="inlineStr">
        <is>
          <t>non_confirmee</t>
        </is>
      </c>
      <c r="D4" s="18" t="inlineStr">
        <is>
          <t>non_confirmee → prix remise affiche avec « ≈ ». Sert aussi la reponse FAQ sur le code.</t>
        </is>
      </c>
    </row>
    <row r="5" ht="44" customHeight="1">
      <c r="A5" s="15" t="inlineStr">
        <is>
          <t>checkout_verifie</t>
        </is>
      </c>
      <c r="B5" s="16" t="inlineStr">
        <is>
          <t>oui</t>
        </is>
      </c>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inlineStr">
        <is>
          <t>confirmed</t>
        </is>
      </c>
      <c r="C9" s="33" t="inlineStr">
        <is>
          <t>needs_confirmation</t>
        </is>
      </c>
      <c r="D9" s="18" t="inlineStr">
        <is>
          <t>Seule une offre confirmed s'affiche : remise, code, Copy code et Claim deal. Vide ou needs_confirmation : la carte garde le plan, le prix public et Continue to.</t>
        </is>
      </c>
    </row>
    <row r="10">
      <c r="A10" s="15" t="inlineStr">
        <is>
          <t>accroche</t>
        </is>
      </c>
      <c r="D10" s="15" t="inlineStr">
        <is>
          <t>Une phrase courte pour le bandeau de campagne du site : ce que l'offre donne, en plus du pourcentage. Vide : le bandeau n'affiche que la remise.</t>
        </is>
      </c>
    </row>
    <row r="11">
      <c r="A11" s="15" t="inlineStr">
        <is>
          <t>remise_campagne</t>
        </is>
      </c>
      <c r="D11" s="15" t="inlineStr">
        <is>
          <t>Taux d'une campagne a duree limitee, en %. Il remplace « remise » jusqu'a « campagne_fin », puis la fiche revient a « remise ».</t>
        </is>
      </c>
    </row>
    <row r="12">
      <c r="A12" s="15" t="inlineStr">
        <is>
          <t>campagne_fin</t>
        </is>
      </c>
      <c r="D12" s="15" t="inlineStr">
        <is>
          <t>Fin de la campagne, date et heure ISO. Passee, le taux de campagne et l'accroche disparaissent, l'offre permanente reste.</t>
        </is>
      </c>
    </row>
    <row r="13">
      <c r="A13" s="15" t="inlineStr">
        <is>
          <t>bonus</t>
        </is>
      </c>
      <c r="D13" s="15" t="inlineStr">
        <is>
          <t>Deux ou trois mots pour ce que l'offre donne en plus du pourcentage (« +1 free reset »). Affiche en pastille sur la fiche et sur la carte /compare. Suit la campagne : il disparait avec elle.</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Evaluation</t>
        </is>
      </c>
      <c r="D3" s="17" t="inlineStr">
        <is>
          <t>One or two phases, with no deadline. The Instant accounts skip this step entirely and start funded.</t>
        </is>
      </c>
    </row>
    <row r="4">
      <c r="A4" s="24" t="n">
        <v>2</v>
      </c>
      <c r="B4" s="17" t="inlineStr">
        <is>
          <t>funded</t>
        </is>
      </c>
      <c r="C4" s="17" t="inlineStr">
        <is>
          <t>Funded account</t>
        </is>
      </c>
      <c r="D4" s="17" t="inlineStr">
        <is>
          <t>You trade the same limits with no profit target. Active days and a consistency rule may apply before the first payout.</t>
        </is>
      </c>
    </row>
    <row r="5">
      <c r="A5" s="24" t="n">
        <v>3</v>
      </c>
      <c r="B5" s="17" t="inlineStr">
        <is>
          <t>payout</t>
        </is>
      </c>
      <c r="C5" s="17" t="inlineStr">
        <is>
          <t>Payouts</t>
        </is>
      </c>
      <c r="D5" s="17" t="inlineStr">
        <is>
          <t>Every 14 days by default, from $100 on most programs. Risk review within 24 hours, then one to two working days to pay.</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Account fee</t>
        </is>
      </c>
      <c r="C3" s="17" t="inlineStr">
        <is>
          <t>One-time</t>
        </is>
      </c>
      <c r="D3" s="17" t="inlineStr">
        <is>
          <t>Paid once, per account. No monthly fee.</t>
        </is>
      </c>
      <c r="E3" s="17" t="n"/>
    </row>
    <row r="4">
      <c r="A4" s="23" t="n">
        <v>2</v>
      </c>
      <c r="B4" s="16" t="inlineStr">
        <is>
          <t>Commission</t>
        </is>
      </c>
      <c r="C4" s="16" t="inlineStr">
        <is>
          <t>$7 per lot</t>
        </is>
      </c>
      <c r="D4" s="16" t="inlineStr">
        <is>
          <t>On forex pairs and XAU/xxx, per standard lot. The help centre mentions a charge at open and at close; the round-trip figure is not published. Other asset classes: not published.</t>
        </is>
      </c>
      <c r="E4" s="16" t="n"/>
    </row>
    <row r="5">
      <c r="A5" s="23" t="n">
        <v>3</v>
      </c>
      <c r="B5" s="16" t="inlineStr">
        <is>
          <t>Reset</t>
        </is>
      </c>
      <c r="C5" s="16" t="inlineStr">
        <is>
          <t>From $26</t>
        </is>
      </c>
      <c r="D5" s="16" t="inlineStr">
        <is>
          <t>One reset per account, requested within seven days of the breach, non-refundable, and it returns you to the start of the current phase. Not offered on Instant, Synthetic or scaled accounts.</t>
        </is>
      </c>
      <c r="E5" s="16" t="inlineStr">
        <is>
          <t>prime, flex-1-step</t>
        </is>
      </c>
    </row>
    <row r="6">
      <c r="A6" s="23" t="n">
        <v>4</v>
      </c>
      <c r="B6" s="16" t="inlineStr">
        <is>
          <t>Add-ons</t>
        </is>
      </c>
      <c r="C6" s="16" t="inlineStr">
        <is>
          <t>+20% to +40%</t>
        </is>
      </c>
      <c r="D6" s="16" t="inlineStr">
        <is>
          <t>Sold at checkout: a 7-day payout cycle, on-demand payouts, a 3-day fast track, and a 2% per-idea risk limit instead of 1.5%. Availability depends on the program.</t>
        </is>
      </c>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K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c r="K1" s="14" t="inlineStr">
        <is>
          <t>variantes</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c r="K2" s="25" t="inlineStr">
        <is>
          <t>Variantes concernees (Day Trade, Swing, NEW...), separees par des virgules. Vide : toutes.</t>
        </is>
      </c>
    </row>
    <row r="3">
      <c r="A3" s="17" t="inlineStr">
        <is>
          <t>trading</t>
        </is>
      </c>
      <c r="B3" s="17" t="inlineStr">
        <is>
          <t>Daily loss</t>
        </is>
      </c>
      <c r="C3" s="17" t="inlineStr">
        <is>
          <t>Measured from the higher of balance or equity at the start of the day, and it resets at 5:00 PM EST.</t>
        </is>
      </c>
      <c r="D3" s="17" t="inlineStr">
        <is>
          <t>confirmed</t>
        </is>
      </c>
      <c r="E3" s="17" t="inlineStr">
        <is>
          <t>prime, 1-step, synthetic, instant-lite</t>
        </is>
      </c>
      <c r="F3" s="17" t="n"/>
      <c r="G3" s="17" t="n"/>
      <c r="H3" s="17" t="inlineStr">
        <is>
          <t>oui</t>
        </is>
      </c>
      <c r="I3" s="17" t="inlineStr">
        <is>
          <t>oui</t>
        </is>
      </c>
      <c r="J3" s="17" t="inlineStr">
        <is>
          <t>https://help.blueberryfunded.com/en/articles/12136509-what-is-the-prime-challenge</t>
        </is>
      </c>
    </row>
    <row r="4">
      <c r="A4" s="17" t="inlineStr">
        <is>
          <t>trading</t>
        </is>
      </c>
      <c r="B4" s="17" t="inlineStr">
        <is>
          <t>Daily loss</t>
        </is>
      </c>
      <c r="C4" s="17" t="inlineStr">
        <is>
          <t>None. This is the only route here without one.</t>
        </is>
      </c>
      <c r="D4" s="17" t="inlineStr">
        <is>
          <t>not_applicable</t>
        </is>
      </c>
      <c r="E4" s="17" t="inlineStr">
        <is>
          <t>instant-elite</t>
        </is>
      </c>
      <c r="F4" s="17" t="n"/>
      <c r="G4" s="17" t="n"/>
      <c r="H4" s="17" t="inlineStr">
        <is>
          <t>oui</t>
        </is>
      </c>
      <c r="I4" s="17" t="inlineStr">
        <is>
          <t>oui</t>
        </is>
      </c>
      <c r="J4" s="17" t="inlineStr">
        <is>
          <t>https://help.blueberryfunded.com/en/articles/11874076-instant-elite-complete-guide</t>
        </is>
      </c>
    </row>
    <row r="5">
      <c r="A5" s="16" t="inlineStr">
        <is>
          <t>trading</t>
        </is>
      </c>
      <c r="B5" s="16" t="inlineStr">
        <is>
          <t>Maximum loss</t>
        </is>
      </c>
      <c r="C5" s="16" t="inlineStr">
        <is>
          <t>Static: measured against the starting balance, floating losses included. It never trails your profits.</t>
        </is>
      </c>
      <c r="D5" s="16" t="inlineStr">
        <is>
          <t>confirmed</t>
        </is>
      </c>
      <c r="E5" s="16" t="inlineStr">
        <is>
          <t>prime, flex-1-step, 1-step, synthetic</t>
        </is>
      </c>
      <c r="F5" s="16" t="n"/>
      <c r="G5" s="16" t="n"/>
      <c r="H5" s="16" t="inlineStr">
        <is>
          <t>oui</t>
        </is>
      </c>
      <c r="I5" s="16" t="inlineStr">
        <is>
          <t>oui</t>
        </is>
      </c>
      <c r="J5" s="16" t="inlineStr">
        <is>
          <t>https://help.blueberryfunded.com/en/articles/12136509-what-is-the-prime-challenge</t>
        </is>
      </c>
    </row>
    <row r="6">
      <c r="A6" s="16" t="inlineStr">
        <is>
          <t>trading</t>
        </is>
      </c>
      <c r="B6" s="16" t="inlineStr">
        <is>
          <t>Maximum loss</t>
        </is>
      </c>
      <c r="C6" s="16" t="inlineStr">
        <is>
          <t>Trailing on equity, then locked at the starting balance once you are up by the same percentage. A payout does not reset it: withdraw everything and you are left with almost no room.</t>
        </is>
      </c>
      <c r="D6" s="16" t="inlineStr">
        <is>
          <t>confirmed</t>
        </is>
      </c>
      <c r="E6" s="16" t="inlineStr">
        <is>
          <t>instant-elite, instant-lite</t>
        </is>
      </c>
      <c r="F6" s="16" t="n"/>
      <c r="G6" s="16" t="n"/>
      <c r="H6" s="16" t="inlineStr">
        <is>
          <t>oui</t>
        </is>
      </c>
      <c r="I6" s="16" t="inlineStr">
        <is>
          <t>oui</t>
        </is>
      </c>
      <c r="J6" s="16" t="inlineStr">
        <is>
          <t>https://help.blueberryfunded.com/en/articles/11874076-instant-elite-complete-guide</t>
        </is>
      </c>
    </row>
    <row r="7">
      <c r="A7" s="16" t="inlineStr">
        <is>
          <t>trading</t>
        </is>
      </c>
      <c r="B7" s="16" t="inlineStr">
        <is>
          <t>Risk per trade idea</t>
        </is>
      </c>
      <c r="C7" s="16" t="inlineStr">
        <is>
          <t>A trade idea groups the first position and anything opened the same way on the same instrument within ten minutes of closing a loser. The combined loss may not exceed 1.5% of the starting balance. Breaking it closes the account.</t>
        </is>
      </c>
      <c r="D7" s="16" t="inlineStr">
        <is>
          <t>confirmed</t>
        </is>
      </c>
      <c r="E7" s="16" t="inlineStr">
        <is>
          <t>1-step, instant-elite, instant-lite</t>
        </is>
      </c>
      <c r="F7" s="16" t="n"/>
      <c r="G7" s="16" t="inlineStr">
        <is>
          <t>funded</t>
        </is>
      </c>
      <c r="H7" s="16" t="inlineStr">
        <is>
          <t>oui</t>
        </is>
      </c>
      <c r="I7" s="16" t="inlineStr">
        <is>
          <t>oui</t>
        </is>
      </c>
      <c r="J7" s="16" t="inlineStr">
        <is>
          <t>https://help.blueberryfunded.com/en/articles/11874076-instant-elite-complete-guide</t>
        </is>
      </c>
    </row>
    <row r="8">
      <c r="A8" s="16" t="inlineStr">
        <is>
          <t>trading</t>
        </is>
      </c>
      <c r="B8" s="16" t="inlineStr">
        <is>
          <t>Risk per trade idea</t>
        </is>
      </c>
      <c r="C8" s="16" t="inlineStr">
        <is>
          <t>Same definition, capped at 1% of the starting balance. The first breach is soft — the positions on that instrument are closed and the account survives. The second closes it.</t>
        </is>
      </c>
      <c r="D8" s="16" t="inlineStr">
        <is>
          <t>confirmed</t>
        </is>
      </c>
      <c r="E8" s="16" t="inlineStr">
        <is>
          <t>flex-1-step</t>
        </is>
      </c>
      <c r="F8" s="16" t="n"/>
      <c r="G8" s="16" t="n"/>
      <c r="H8" s="16" t="inlineStr">
        <is>
          <t>oui</t>
        </is>
      </c>
      <c r="I8" s="16" t="inlineStr">
        <is>
          <t>oui</t>
        </is>
      </c>
      <c r="J8" s="16" t="inlineStr">
        <is>
          <t>https://help.blueberryfunded.com/en/articles/16390472-what-are-the-rules-on-a-flex-1-step-account</t>
        </is>
      </c>
    </row>
    <row r="9">
      <c r="A9" s="16" t="inlineStr">
        <is>
          <t>trading</t>
        </is>
      </c>
      <c r="B9" s="16" t="inlineStr">
        <is>
          <t>Profit concentration</t>
        </is>
      </c>
      <c r="C9" s="16" t="inlineStr">
        <is>
          <t>No minimum days, but if a single trade idea makes more than 60% of the target, the funded account will ask for four active days at 0.5% before your first payout.</t>
        </is>
      </c>
      <c r="D9" s="16" t="inlineStr">
        <is>
          <t>confirmed</t>
        </is>
      </c>
      <c r="E9" s="16" t="inlineStr">
        <is>
          <t>flex-1-step</t>
        </is>
      </c>
      <c r="F9" s="16" t="n"/>
      <c r="G9" s="16" t="n"/>
      <c r="H9" s="16" t="n"/>
      <c r="I9" s="16" t="n"/>
      <c r="J9" s="16" t="inlineStr">
        <is>
          <t>https://help.blueberryfunded.com/en/articles/16390472-what-are-the-rules-on-a-flex-1-step-account</t>
        </is>
      </c>
    </row>
    <row r="10">
      <c r="A10" s="16" t="inlineStr">
        <is>
          <t>trading</t>
        </is>
      </c>
      <c r="B10" s="16" t="inlineStr">
        <is>
          <t>Active day</t>
        </is>
      </c>
      <c r="C10" s="16" t="inlineStr">
        <is>
          <t>A day counts when closed positions gain at least 0.5% of the balance.</t>
        </is>
      </c>
      <c r="D10" s="16" t="inlineStr">
        <is>
          <t>confirmed</t>
        </is>
      </c>
      <c r="E10" s="16" t="inlineStr">
        <is>
          <t>prime, 1-step, synthetic, instant-elite</t>
        </is>
      </c>
      <c r="F10" s="16" t="n"/>
      <c r="G10" s="16" t="inlineStr">
        <is>
          <t>funded</t>
        </is>
      </c>
      <c r="H10" s="16" t="n"/>
      <c r="I10" s="16" t="n"/>
      <c r="J10" s="16" t="inlineStr">
        <is>
          <t>https://help.blueberryfunded.com/en/articles/12136509-what-is-the-prime-challenge</t>
        </is>
      </c>
    </row>
    <row r="11">
      <c r="A11" s="16" t="inlineStr">
        <is>
          <t>trading</t>
        </is>
      </c>
      <c r="B11" s="16" t="inlineStr">
        <is>
          <t>Consistency</t>
        </is>
      </c>
      <c r="C11" s="16" t="inlineStr">
        <is>
          <t>Your best day must stay under 15% of the total profit. A payout is held until the account is back under it.</t>
        </is>
      </c>
      <c r="D11" s="16" t="inlineStr">
        <is>
          <t>confirmed</t>
        </is>
      </c>
      <c r="E11" s="16" t="inlineStr">
        <is>
          <t>instant-lite</t>
        </is>
      </c>
      <c r="F11" s="16" t="n"/>
      <c r="G11" s="16" t="inlineStr">
        <is>
          <t>funded</t>
        </is>
      </c>
      <c r="H11" s="16" t="n"/>
      <c r="I11" s="16" t="n"/>
      <c r="J11" s="16" t="inlineStr">
        <is>
          <t>https://help.blueberryfunded.com/en/articles/16385107-new-what-are-the-rules-on-an-instant-lite-account</t>
        </is>
      </c>
    </row>
    <row r="12">
      <c r="A12" s="16" t="inlineStr">
        <is>
          <t>trading</t>
        </is>
      </c>
      <c r="B12" s="16" t="inlineStr">
        <is>
          <t>Consistency</t>
        </is>
      </c>
      <c r="C12" s="16" t="inlineStr">
        <is>
          <t>Your best day must stay under 30% of the total profit.</t>
        </is>
      </c>
      <c r="D12" s="16" t="inlineStr">
        <is>
          <t>confirmed</t>
        </is>
      </c>
      <c r="E12" s="16" t="inlineStr">
        <is>
          <t>synthetic</t>
        </is>
      </c>
      <c r="F12" s="16" t="n"/>
      <c r="G12" s="16" t="inlineStr">
        <is>
          <t>funded</t>
        </is>
      </c>
      <c r="H12" s="16" t="n"/>
      <c r="I12" s="16" t="n"/>
      <c r="J12" s="16" t="inlineStr">
        <is>
          <t>https://help.blueberryfunded.com/en/articles/12076564-overview-of-the-synthetic-plan</t>
        </is>
      </c>
    </row>
    <row r="13">
      <c r="A13" s="16" t="inlineStr">
        <is>
          <t>trading</t>
        </is>
      </c>
      <c r="B13" s="16" t="inlineStr">
        <is>
          <t>Time limit</t>
        </is>
      </c>
      <c r="C13" s="16" t="inlineStr">
        <is>
          <t>None: no current evaluation expires.</t>
        </is>
      </c>
      <c r="D13" s="16" t="inlineStr">
        <is>
          <t>confirmed</t>
        </is>
      </c>
      <c r="E13" s="16" t="inlineStr">
        <is>
          <t>prime, flex-1-step, 1-step, synthetic</t>
        </is>
      </c>
      <c r="F13" s="16" t="n"/>
      <c r="G13" s="16" t="inlineStr">
        <is>
          <t>evaluation</t>
        </is>
      </c>
      <c r="H13" s="16" t="n"/>
      <c r="I13" s="16" t="n"/>
      <c r="J13" s="16" t="inlineStr">
        <is>
          <t>https://help.blueberryfunded.com/en/articles/12136509-what-is-the-prime-challenge</t>
        </is>
      </c>
    </row>
    <row r="14">
      <c r="A14" s="16" t="inlineStr">
        <is>
          <t>trading</t>
        </is>
      </c>
      <c r="B14" s="16" t="inlineStr">
        <is>
          <t>News trading</t>
        </is>
      </c>
      <c r="C14" s="16" t="inlineStr">
        <is>
          <t>No position may be opened, closed or modified from two minutes before to two minutes after a scheduled high-impact release — pending orders and take-profits included. A stop-loss on a position opened more than six hours earlier may be accepted.</t>
        </is>
      </c>
      <c r="D14" s="16" t="inlineStr">
        <is>
          <t>confirmed</t>
        </is>
      </c>
      <c r="E14" s="16" t="inlineStr">
        <is>
          <t>1-step, synthetic, instant-elite, instant-lite</t>
        </is>
      </c>
      <c r="F14" s="16" t="n"/>
      <c r="G14" s="16" t="n"/>
      <c r="H14" s="16" t="n"/>
      <c r="I14" s="16" t="inlineStr">
        <is>
          <t>oui</t>
        </is>
      </c>
      <c r="J14" s="16" t="inlineStr">
        <is>
          <t>https://help.blueberryfunded.com/</t>
        </is>
      </c>
    </row>
    <row r="15">
      <c r="A15" s="16" t="inlineStr">
        <is>
          <t>trading</t>
        </is>
      </c>
      <c r="B15" s="16" t="inlineStr">
        <is>
          <t>News trading</t>
        </is>
      </c>
      <c r="C15" s="16" t="inlineStr">
        <is>
          <t>Only new positions are barred in the two-minute window. Managing and closing what you already hold stays allowed.</t>
        </is>
      </c>
      <c r="D15" s="16" t="inlineStr">
        <is>
          <t>confirmed</t>
        </is>
      </c>
      <c r="E15" s="16" t="inlineStr">
        <is>
          <t>prime</t>
        </is>
      </c>
      <c r="F15" s="16" t="n"/>
      <c r="G15" s="16" t="n"/>
      <c r="H15" s="16" t="n"/>
      <c r="I15" s="16" t="inlineStr">
        <is>
          <t>oui</t>
        </is>
      </c>
      <c r="J15" s="16" t="inlineStr">
        <is>
          <t>https://help.blueberryfunded.com/en/articles/12136509-what-is-the-prime-challenge</t>
        </is>
      </c>
    </row>
    <row r="16">
      <c r="A16" s="16" t="inlineStr">
        <is>
          <t>trading</t>
        </is>
      </c>
      <c r="B16" s="16" t="inlineStr">
        <is>
          <t>News trading</t>
        </is>
      </c>
      <c r="C16" s="16" t="inlineStr">
        <is>
          <t>The window widens to five minutes either side, unscheduled events included. Strikes add up and survive the move to a funded account: first the profit is removed, then the split drops to 60%, then the account closes.</t>
        </is>
      </c>
      <c r="D16" s="16" t="inlineStr">
        <is>
          <t>confirmed</t>
        </is>
      </c>
      <c r="E16" s="16" t="inlineStr">
        <is>
          <t>flex-1-step</t>
        </is>
      </c>
      <c r="F16" s="16" t="n"/>
      <c r="G16" s="16" t="n"/>
      <c r="H16" s="16" t="inlineStr">
        <is>
          <t>oui</t>
        </is>
      </c>
      <c r="I16" s="16" t="inlineStr">
        <is>
          <t>oui</t>
        </is>
      </c>
      <c r="J16" s="16" t="inlineStr">
        <is>
          <t>https://help.blueberryfunded.com/en/articles/16390472-what-are-the-rules-on-a-flex-1-step-account</t>
        </is>
      </c>
    </row>
    <row r="17">
      <c r="A17" s="16" t="inlineStr">
        <is>
          <t>trading</t>
        </is>
      </c>
      <c r="B17" s="16" t="inlineStr">
        <is>
          <t>Overnight holding</t>
        </is>
      </c>
      <c r="C17" s="16" t="inlineStr">
        <is>
          <t>Allowed on every program.</t>
        </is>
      </c>
      <c r="D17" s="16" t="inlineStr">
        <is>
          <t>confirmed</t>
        </is>
      </c>
      <c r="E17" s="16" t="inlineStr">
        <is>
          <t>prime, flex-1-step, 1-step, synthetic, instant-elite, instant-lite</t>
        </is>
      </c>
      <c r="F17" s="16" t="n"/>
      <c r="G17" s="16" t="n"/>
      <c r="H17" s="16" t="n"/>
      <c r="I17" s="16" t="n"/>
      <c r="J17" s="16" t="inlineStr">
        <is>
          <t>https://help.blueberryfunded.com/en/articles/9550589-can-i-hold-positions-over-the-weekend-and-overnight</t>
        </is>
      </c>
    </row>
    <row r="18">
      <c r="A18" s="16" t="inlineStr">
        <is>
          <t>trading</t>
        </is>
      </c>
      <c r="B18" s="16" t="inlineStr">
        <is>
          <t>Weekend holding</t>
        </is>
      </c>
      <c r="C18" s="16" t="inlineStr">
        <is>
          <t>Allowed, except on Flex 1 Step.</t>
        </is>
      </c>
      <c r="D18" s="16" t="inlineStr">
        <is>
          <t>confirmed</t>
        </is>
      </c>
      <c r="E18" s="16" t="inlineStr">
        <is>
          <t>prime, 1-step, synthetic, instant-elite, instant-lite</t>
        </is>
      </c>
      <c r="F18" s="16" t="n"/>
      <c r="G18" s="16" t="n"/>
      <c r="H18" s="16" t="inlineStr">
        <is>
          <t>oui</t>
        </is>
      </c>
      <c r="I18" s="16" t="inlineStr">
        <is>
          <t>oui</t>
        </is>
      </c>
      <c r="J18" s="16" t="inlineStr">
        <is>
          <t>https://help.blueberryfunded.com/en/articles/9550589-can-i-hold-positions-over-the-weekend-and-overnight</t>
        </is>
      </c>
    </row>
    <row r="19">
      <c r="A19" s="16" t="inlineStr">
        <is>
          <t>trading</t>
        </is>
      </c>
      <c r="B19" s="16" t="inlineStr">
        <is>
          <t>Weekend holding</t>
        </is>
      </c>
      <c r="C19" s="16" t="inlineStr">
        <is>
          <t>Not allowed: everything must be closed before the weekend.</t>
        </is>
      </c>
      <c r="D19" s="16" t="inlineStr">
        <is>
          <t>confirmed</t>
        </is>
      </c>
      <c r="E19" s="16" t="inlineStr">
        <is>
          <t>flex-1-step</t>
        </is>
      </c>
      <c r="F19" s="16" t="n"/>
      <c r="G19" s="16" t="n"/>
      <c r="H19" s="16" t="inlineStr">
        <is>
          <t>oui</t>
        </is>
      </c>
      <c r="I19" s="16" t="inlineStr">
        <is>
          <t>oui</t>
        </is>
      </c>
      <c r="J19" s="16" t="inlineStr">
        <is>
          <t>https://help.blueberryfunded.com/en/articles/16390472-what-are-the-rules-on-a-flex-1-step-account</t>
        </is>
      </c>
    </row>
    <row r="20">
      <c r="A20" s="16" t="inlineStr">
        <is>
          <t>trading</t>
        </is>
      </c>
      <c r="B20" s="16" t="inlineStr">
        <is>
          <t>Expert advisors</t>
        </is>
      </c>
      <c r="C20" s="16" t="inlineStr">
        <is>
          <t>Your own advisor may be used if you built it, it encodes your strategy, and you declare it for approval. Utility tools are fine. Commercial, rented or shared advisors are not.</t>
        </is>
      </c>
      <c r="D20" s="16" t="inlineStr">
        <is>
          <t>confirmed</t>
        </is>
      </c>
      <c r="E20" s="16" t="inlineStr">
        <is>
          <t>prime, flex-1-step, 1-step, instant-elite, instant-lite</t>
        </is>
      </c>
      <c r="F20" s="16" t="n"/>
      <c r="G20" s="16" t="n"/>
      <c r="H20" s="16" t="n"/>
      <c r="I20" s="16" t="n"/>
      <c r="J20" s="16" t="inlineStr">
        <is>
          <t>https://help.blueberryfunded.com/</t>
        </is>
      </c>
    </row>
    <row r="21">
      <c r="A21" s="16" t="inlineStr">
        <is>
          <t>trading</t>
        </is>
      </c>
      <c r="B21" s="16" t="inlineStr">
        <is>
          <t>Expert advisors</t>
        </is>
      </c>
      <c r="C21" s="16" t="inlineStr">
        <is>
          <t>Not allowed on this program.</t>
        </is>
      </c>
      <c r="D21" s="16" t="inlineStr">
        <is>
          <t>not_applicable</t>
        </is>
      </c>
      <c r="E21" s="16" t="inlineStr">
        <is>
          <t>synthetic</t>
        </is>
      </c>
      <c r="F21" s="16" t="n"/>
      <c r="G21" s="16" t="n"/>
      <c r="H21" s="16" t="n"/>
      <c r="I21" s="16" t="n"/>
      <c r="J21" s="16" t="inlineStr">
        <is>
          <t>https://help.blueberryfunded.com/en/articles/12076564-overview-of-the-synthetic-plan</t>
        </is>
      </c>
    </row>
    <row r="22">
      <c r="A22" s="16" t="inlineStr">
        <is>
          <t>trading</t>
        </is>
      </c>
      <c r="B22" s="16" t="inlineStr">
        <is>
          <t>Copy trading</t>
        </is>
      </c>
      <c r="C22" s="16" t="inlineStr">
        <is>
          <t>Only between your own accounts. Copying a third party, or letting someone manage your account, closes it.</t>
        </is>
      </c>
      <c r="D22" s="16" t="inlineStr">
        <is>
          <t>confirmed</t>
        </is>
      </c>
      <c r="E22" s="16" t="inlineStr">
        <is>
          <t>prime, flex-1-step, 1-step, synthetic, instant-elite, instant-lite</t>
        </is>
      </c>
      <c r="F22" s="16" t="n"/>
      <c r="G22" s="16" t="n"/>
      <c r="H22" s="16" t="n"/>
      <c r="I22" s="16" t="n"/>
      <c r="J22" s="16" t="inlineStr">
        <is>
          <t>https://help.blueberryfunded.com/</t>
        </is>
      </c>
    </row>
    <row r="23">
      <c r="A23" s="16" t="inlineStr">
        <is>
          <t>trading</t>
        </is>
      </c>
      <c r="B23" s="16" t="inlineStr">
        <is>
          <t>Hedging</t>
        </is>
      </c>
      <c r="C23" s="16" t="inlineStr">
        <is>
          <t>Allowed inside one account. Hedging between accounts or across platforms is not.</t>
        </is>
      </c>
      <c r="D23" s="16" t="inlineStr">
        <is>
          <t>confirmed</t>
        </is>
      </c>
      <c r="E23" s="16" t="inlineStr">
        <is>
          <t>prime, flex-1-step, 1-step, synthetic, instant-elite, instant-lite</t>
        </is>
      </c>
      <c r="F23" s="16" t="n"/>
      <c r="G23" s="16" t="n"/>
      <c r="H23" s="16" t="n"/>
      <c r="I23" s="16" t="n"/>
      <c r="J23" s="16" t="inlineStr">
        <is>
          <t>https://help.blueberryfunded.com/</t>
        </is>
      </c>
    </row>
    <row r="24">
      <c r="A24" s="16" t="inlineStr">
        <is>
          <t>trading</t>
        </is>
      </c>
      <c r="B24" s="16" t="inlineStr">
        <is>
          <t>Strategies</t>
        </is>
      </c>
      <c r="C24" s="16" t="inlineStr">
        <is>
          <t>The help centre removed martingale, grids, position stacking, all-in trading and heavy scalping from the banned list for accounts bought since 12 March 2026, and the pricing page says they are allowed. The August 2026 fee document still lists martingale and grids as prohibited on funded accounts. The firm has not reconciled the two.</t>
        </is>
      </c>
      <c r="D24" s="16" t="inlineStr">
        <is>
          <t>source_conflict</t>
        </is>
      </c>
      <c r="E24" s="16" t="inlineStr">
        <is>
          <t>prime, flex-1-step, 1-step, synthetic, instant-elite, instant-lite</t>
        </is>
      </c>
      <c r="F24" s="16" t="n"/>
      <c r="G24" s="16" t="n"/>
      <c r="H24" s="16" t="n"/>
      <c r="I24" s="16" t="n"/>
      <c r="J24" s="16" t="inlineStr">
        <is>
          <t>https://help.blueberryfunded.com/</t>
        </is>
      </c>
    </row>
    <row r="25">
      <c r="A25" s="16" t="inlineStr">
        <is>
          <t>trading</t>
        </is>
      </c>
      <c r="B25" s="16" t="inlineStr">
        <is>
          <t>Prohibited practices</t>
        </is>
      </c>
      <c r="C25" s="16" t="inlineStr">
        <is>
          <t>Arbitrage, hedging across accounts or platforms, high-frequency trading, tick scalping, exploiting a pricing or execution error, bad-faith trading, third-party management and non-proprietary automation.</t>
        </is>
      </c>
      <c r="D25" s="16" t="inlineStr">
        <is>
          <t>confirmed</t>
        </is>
      </c>
      <c r="E25" s="16" t="inlineStr">
        <is>
          <t>prime, flex-1-step, 1-step, synthetic, instant-elite, instant-lite</t>
        </is>
      </c>
      <c r="F25" s="16" t="n"/>
      <c r="G25" s="16" t="n"/>
      <c r="H25" s="16" t="inlineStr">
        <is>
          <t>oui</t>
        </is>
      </c>
      <c r="I25" s="16" t="n"/>
      <c r="J25" s="16" t="inlineStr">
        <is>
          <t>https://help.blueberryfunded.com/</t>
        </is>
      </c>
    </row>
    <row r="26">
      <c r="A26" s="16" t="inlineStr">
        <is>
          <t>trading</t>
        </is>
      </c>
      <c r="B26" s="16" t="inlineStr">
        <is>
          <t>Inactivity</t>
        </is>
      </c>
      <c r="C26" s="16" t="inlineStr">
        <is>
          <t>At least one closed trade in any 30-day window. Up to two devices at once, and two people must not trade from the same address.</t>
        </is>
      </c>
      <c r="D26" s="16" t="inlineStr">
        <is>
          <t>confirmed</t>
        </is>
      </c>
      <c r="E26" s="16" t="inlineStr">
        <is>
          <t>prime, flex-1-step, 1-step, synthetic, instant-elite, instant-lite</t>
        </is>
      </c>
      <c r="F26" s="16" t="n"/>
      <c r="G26" s="16" t="n"/>
      <c r="H26" s="16" t="n"/>
      <c r="I26" s="16" t="n"/>
      <c r="J26" s="16" t="inlineStr">
        <is>
          <t>https://help.blueberryfunded.com/</t>
        </is>
      </c>
    </row>
    <row r="27">
      <c r="A27" s="16" t="inlineStr">
        <is>
          <t>trading</t>
        </is>
      </c>
      <c r="B27" s="16" t="inlineStr">
        <is>
          <t>Leverage</t>
        </is>
      </c>
      <c r="C27" s="16" t="inlineStr">
        <is>
          <t>1:30 on forex and synthetic indices, 1:50 on gold, 1:10 on indices, energies and other metals, 1:2 on crypto.</t>
        </is>
      </c>
      <c r="D27" s="16" t="inlineStr">
        <is>
          <t>confirmed</t>
        </is>
      </c>
      <c r="E27" s="16" t="inlineStr">
        <is>
          <t>prime, flex-1-step, 1-step, synthetic, instant-elite, instant-lite</t>
        </is>
      </c>
      <c r="F27" s="16" t="n"/>
      <c r="G27" s="16" t="n"/>
      <c r="H27" s="16" t="n"/>
      <c r="I27" s="16" t="n"/>
      <c r="J27" s="16" t="inlineStr">
        <is>
          <t>https://blueberryfunded.com/wp-content/uploads/2026/08/BBF-Trading-Evaluation-Outline-and-Fees-August-2026.pdf</t>
        </is>
      </c>
    </row>
    <row r="28">
      <c r="A28" s="16" t="inlineStr">
        <is>
          <t>trading</t>
        </is>
      </c>
      <c r="B28" s="16" t="inlineStr">
        <is>
          <t>Platforms</t>
        </is>
      </c>
      <c r="C28" s="16" t="inlineStr">
        <is>
          <t>MetaTrader 5 or TradeLocker, chosen at checkout.</t>
        </is>
      </c>
      <c r="D28" s="16" t="inlineStr">
        <is>
          <t>confirmed</t>
        </is>
      </c>
      <c r="E28" s="16" t="inlineStr">
        <is>
          <t>prime, flex-1-step, 1-step, instant-elite, instant-lite</t>
        </is>
      </c>
      <c r="F28" s="16" t="n"/>
      <c r="G28" s="16" t="n"/>
      <c r="H28" s="16" t="n"/>
      <c r="I28" s="16" t="n"/>
      <c r="J28" s="16" t="inlineStr">
        <is>
          <t>https://help.blueberryfunded.com/</t>
        </is>
      </c>
    </row>
    <row r="29">
      <c r="A29" s="16" t="inlineStr">
        <is>
          <t>trading</t>
        </is>
      </c>
      <c r="B29" s="16" t="inlineStr">
        <is>
          <t>Platforms</t>
        </is>
      </c>
      <c r="C29" s="16" t="inlineStr">
        <is>
          <t>MetaTrader 5 only.</t>
        </is>
      </c>
      <c r="D29" s="16" t="inlineStr">
        <is>
          <t>confirmed</t>
        </is>
      </c>
      <c r="E29" s="16" t="inlineStr">
        <is>
          <t>synthetic</t>
        </is>
      </c>
      <c r="F29" s="16" t="n"/>
      <c r="G29" s="16" t="n"/>
      <c r="H29" s="16" t="n"/>
      <c r="I29" s="16" t="n"/>
      <c r="J29" s="16" t="inlineStr">
        <is>
          <t>https://help.blueberryfunded.com/en/articles/12076564-overview-of-the-synthetic-plan</t>
        </is>
      </c>
    </row>
    <row r="30">
      <c r="A30" s="16" t="inlineStr">
        <is>
          <t>payouts</t>
        </is>
      </c>
      <c r="B30" s="16" t="inlineStr">
        <is>
          <t>Payout schedule</t>
        </is>
      </c>
      <c r="C30" s="16" t="inlineStr">
        <is>
          <t>Every 14 days. Add-ons sold at checkout can shorten the cycle to seven days or make payouts available on demand.</t>
        </is>
      </c>
      <c r="D30" s="16" t="inlineStr">
        <is>
          <t>confirmed</t>
        </is>
      </c>
      <c r="E30" s="16" t="n"/>
      <c r="F30" s="16" t="n"/>
      <c r="G30" s="16" t="inlineStr">
        <is>
          <t>funded</t>
        </is>
      </c>
      <c r="H30" s="16" t="n"/>
      <c r="I30" s="16" t="inlineStr">
        <is>
          <t>oui</t>
        </is>
      </c>
      <c r="J30" s="16" t="inlineStr">
        <is>
          <t>https://help.blueberryfunded.com/</t>
        </is>
      </c>
    </row>
    <row r="31">
      <c r="A31" s="16" t="inlineStr">
        <is>
          <t>payouts</t>
        </is>
      </c>
      <c r="B31" s="16" t="inlineStr">
        <is>
          <t>Active days required</t>
        </is>
      </c>
      <c r="C31" s="16" t="inlineStr">
        <is>
          <t>Three active days per cycle on accounts bought since 17 August 2026; five before that date.</t>
        </is>
      </c>
      <c r="D31" s="16" t="inlineStr">
        <is>
          <t>confirmed</t>
        </is>
      </c>
      <c r="E31" s="16" t="inlineStr">
        <is>
          <t>prime</t>
        </is>
      </c>
      <c r="F31" s="16" t="n"/>
      <c r="G31" s="16" t="inlineStr">
        <is>
          <t>funded</t>
        </is>
      </c>
      <c r="H31" s="16" t="n"/>
      <c r="I31" s="16" t="inlineStr">
        <is>
          <t>oui</t>
        </is>
      </c>
      <c r="J31" s="16" t="inlineStr">
        <is>
          <t>https://help.blueberryfunded.com/en/articles/12136509-what-is-the-prime-challenge</t>
        </is>
      </c>
    </row>
    <row r="32">
      <c r="A32" s="16" t="inlineStr">
        <is>
          <t>payouts</t>
        </is>
      </c>
      <c r="B32" s="16" t="inlineStr">
        <is>
          <t>Active days required</t>
        </is>
      </c>
      <c r="C32" s="16" t="inlineStr">
        <is>
          <t>Five active days per cycle, each worth at least 0.5% of closed profit.</t>
        </is>
      </c>
      <c r="D32" s="16" t="inlineStr">
        <is>
          <t>confirmed</t>
        </is>
      </c>
      <c r="E32" s="16" t="inlineStr">
        <is>
          <t>instant-elite</t>
        </is>
      </c>
      <c r="F32" s="16" t="n"/>
      <c r="G32" s="16" t="inlineStr">
        <is>
          <t>funded</t>
        </is>
      </c>
      <c r="H32" s="16" t="n"/>
      <c r="I32" s="16" t="inlineStr">
        <is>
          <t>oui</t>
        </is>
      </c>
      <c r="J32" s="16" t="inlineStr">
        <is>
          <t>https://help.blueberryfunded.com/en/articles/11874076-instant-elite-complete-guide</t>
        </is>
      </c>
    </row>
    <row r="33">
      <c r="A33" s="16" t="inlineStr">
        <is>
          <t>payouts</t>
        </is>
      </c>
      <c r="B33" s="16" t="inlineStr">
        <is>
          <t>Minimum withdrawal</t>
        </is>
      </c>
      <c r="C33" s="16" t="inlineStr">
        <is>
          <t>$100.</t>
        </is>
      </c>
      <c r="D33" s="16" t="inlineStr">
        <is>
          <t>confirmed</t>
        </is>
      </c>
      <c r="E33" s="16" t="inlineStr">
        <is>
          <t>prime, 1-step, instant-elite, instant-lite</t>
        </is>
      </c>
      <c r="F33" s="16" t="n"/>
      <c r="G33" s="16" t="inlineStr">
        <is>
          <t>funded</t>
        </is>
      </c>
      <c r="H33" s="16" t="n"/>
      <c r="I33" s="16" t="inlineStr">
        <is>
          <t>oui</t>
        </is>
      </c>
      <c r="J33" s="16" t="inlineStr">
        <is>
          <t>https://help.blueberryfunded.com/</t>
        </is>
      </c>
    </row>
    <row r="34">
      <c r="A34" s="16" t="inlineStr">
        <is>
          <t>payouts</t>
        </is>
      </c>
      <c r="B34" s="16" t="inlineStr">
        <is>
          <t>Minimum withdrawal</t>
        </is>
      </c>
      <c r="C34" s="16" t="inlineStr">
        <is>
          <t>1% of the starting balance.</t>
        </is>
      </c>
      <c r="D34" s="16" t="inlineStr">
        <is>
          <t>confirmed</t>
        </is>
      </c>
      <c r="E34" s="16" t="inlineStr">
        <is>
          <t>flex-1-step</t>
        </is>
      </c>
      <c r="F34" s="16" t="n"/>
      <c r="G34" s="16" t="inlineStr">
        <is>
          <t>funded</t>
        </is>
      </c>
      <c r="H34" s="16" t="n"/>
      <c r="I34" s="16" t="inlineStr">
        <is>
          <t>oui</t>
        </is>
      </c>
      <c r="J34" s="16" t="inlineStr">
        <is>
          <t>https://help.blueberryfunded.com/en/articles/16390472-what-are-the-rules-on-a-flex-1-step-account</t>
        </is>
      </c>
    </row>
    <row r="35">
      <c r="A35" s="16" t="inlineStr">
        <is>
          <t>payouts</t>
        </is>
      </c>
      <c r="B35" s="16" t="inlineStr">
        <is>
          <t>Minimum withdrawal</t>
        </is>
      </c>
      <c r="C35" s="16" t="inlineStr">
        <is>
          <t>$200.</t>
        </is>
      </c>
      <c r="D35" s="16" t="inlineStr">
        <is>
          <t>confirmed</t>
        </is>
      </c>
      <c r="E35" s="16" t="inlineStr">
        <is>
          <t>synthetic</t>
        </is>
      </c>
      <c r="F35" s="16" t="n"/>
      <c r="G35" s="16" t="inlineStr">
        <is>
          <t>funded</t>
        </is>
      </c>
      <c r="H35" s="16" t="n"/>
      <c r="I35" s="16" t="inlineStr">
        <is>
          <t>oui</t>
        </is>
      </c>
      <c r="J35" s="16" t="inlineStr">
        <is>
          <t>https://help.blueberryfunded.com/en/articles/12076564-overview-of-the-synthetic-plan</t>
        </is>
      </c>
    </row>
    <row r="36">
      <c r="A36" s="16" t="inlineStr">
        <is>
          <t>payouts</t>
        </is>
      </c>
      <c r="B36" s="16" t="inlineStr">
        <is>
          <t>Processing</t>
        </is>
      </c>
      <c r="C36" s="16" t="inlineStr">
        <is>
          <t>Risk review within 24 hours, then one to two working days to pay. The firm currently announces 7 to 14 working days while it upgrades its payment infrastructure.</t>
        </is>
      </c>
      <c r="D36" s="16" t="inlineStr">
        <is>
          <t>confirmed</t>
        </is>
      </c>
      <c r="E36" s="16" t="n"/>
      <c r="F36" s="16" t="n"/>
      <c r="G36" s="16" t="inlineStr">
        <is>
          <t>funded</t>
        </is>
      </c>
      <c r="H36" s="16" t="n"/>
      <c r="I36" s="16" t="n"/>
      <c r="J36" s="16" t="inlineStr">
        <is>
          <t>https://help.blueberryfunded.com/</t>
        </is>
      </c>
    </row>
    <row r="37">
      <c r="A37" s="16" t="inlineStr">
        <is>
          <t>payouts</t>
        </is>
      </c>
      <c r="B37" s="16" t="inlineStr">
        <is>
          <t>Withdrawal methods</t>
        </is>
      </c>
      <c r="C37" s="16" t="inlineStr">
        <is>
          <t>Crypto, Rise, or a transfer to a live Blueberry Markets account.</t>
        </is>
      </c>
      <c r="D37" s="16" t="inlineStr">
        <is>
          <t>confirmed</t>
        </is>
      </c>
      <c r="E37" s="16" t="n"/>
      <c r="F37" s="16" t="n"/>
      <c r="G37" s="16" t="inlineStr">
        <is>
          <t>funded</t>
        </is>
      </c>
      <c r="H37" s="16" t="n"/>
      <c r="I37" s="16" t="n"/>
      <c r="J37" s="16" t="inlineStr">
        <is>
          <t>https://help.blueberryfunded.com/</t>
        </is>
      </c>
    </row>
    <row r="38">
      <c r="A38" s="16" t="inlineStr">
        <is>
          <t>payouts</t>
        </is>
      </c>
      <c r="B38" s="16" t="inlineStr">
        <is>
          <t>Reset</t>
        </is>
      </c>
      <c r="C38" s="16" t="inlineStr">
        <is>
          <t>One reset per account, requested within seven days of the breach and non-refundable. It returns you to the start of the current phase, and a funded reset costs twice the challenge.</t>
        </is>
      </c>
      <c r="D38" s="16" t="inlineStr">
        <is>
          <t>confirmed</t>
        </is>
      </c>
      <c r="E38" s="16" t="inlineStr">
        <is>
          <t>prime, flex-1-step, 1-step</t>
        </is>
      </c>
      <c r="F38" s="16" t="n"/>
      <c r="G38" s="16" t="n"/>
      <c r="H38" s="16" t="n"/>
      <c r="I38" s="16" t="n"/>
      <c r="J38" s="16" t="inlineStr">
        <is>
          <t>https://blueberryfunded.com/wp-content/uploads/2026/08/BBF-Trading-Evaluation-Outline-and-Fees-August-2026.pdf</t>
        </is>
      </c>
    </row>
    <row r="39">
      <c r="A39" s="16" t="inlineStr">
        <is>
          <t>payouts</t>
        </is>
      </c>
      <c r="B39" s="16" t="inlineStr">
        <is>
          <t>Reset</t>
        </is>
      </c>
      <c r="C39" s="16" t="inlineStr">
        <is>
          <t>The official text announces resets for Prime and Flex, yet publishes a price grid for this program too. The two sources disagree.</t>
        </is>
      </c>
      <c r="D39" s="16" t="inlineStr">
        <is>
          <t>source_conflict</t>
        </is>
      </c>
      <c r="E39" s="16" t="inlineStr">
        <is>
          <t>1-step</t>
        </is>
      </c>
      <c r="F39" s="16" t="n"/>
      <c r="G39" s="16" t="n"/>
      <c r="H39" s="16" t="n"/>
      <c r="I39" s="16" t="n"/>
      <c r="J39" s="16" t="inlineStr">
        <is>
          <t>https://blueberryfunded.com/wp-content/uploads/2026/08/BBF-Trading-Evaluation-Outline-and-Fees-August-2026.pdf</t>
        </is>
      </c>
    </row>
    <row r="40">
      <c r="A40" s="16" t="inlineStr">
        <is>
          <t>live</t>
        </is>
      </c>
      <c r="B40" s="16" t="inlineStr">
        <is>
          <t>Scaling</t>
        </is>
      </c>
      <c r="C40" s="16" t="inlineStr">
        <is>
          <t>On the evaluation routes only: 10% net profit over three consecutive months and four successful payouts add 25% to the balance every quarter, and the split climbs towards 90%. Total allocation is capped at $2,000,000.</t>
        </is>
      </c>
      <c r="D40" s="16" t="inlineStr">
        <is>
          <t>confirmed</t>
        </is>
      </c>
      <c r="E40" s="16" t="inlineStr">
        <is>
          <t>prime, flex-1-step, 1-step, synthetic</t>
        </is>
      </c>
      <c r="F40" s="16" t="n"/>
      <c r="G40" s="16" t="inlineStr">
        <is>
          <t>funded</t>
        </is>
      </c>
      <c r="H40" s="16" t="n"/>
      <c r="I40" s="16" t="inlineStr">
        <is>
          <t>oui</t>
        </is>
      </c>
      <c r="J40" s="16" t="inlineStr">
        <is>
          <t>https://help.blueberryfunded.com/</t>
        </is>
      </c>
    </row>
    <row r="41">
      <c r="A41" s="16" t="inlineStr">
        <is>
          <t>live</t>
        </is>
      </c>
      <c r="B41" s="16" t="inlineStr">
        <is>
          <t>Scaling</t>
        </is>
      </c>
      <c r="C41" s="16" t="inlineStr">
        <is>
          <t>Not offered on the instant-funding accounts.</t>
        </is>
      </c>
      <c r="D41" s="16" t="inlineStr">
        <is>
          <t>not_applicable</t>
        </is>
      </c>
      <c r="E41" s="16" t="inlineStr">
        <is>
          <t>instant-elite, instant-lite</t>
        </is>
      </c>
      <c r="F41" s="16" t="n"/>
      <c r="G41" s="16" t="inlineStr">
        <is>
          <t>funded</t>
        </is>
      </c>
      <c r="H41" s="16" t="n"/>
      <c r="I41" s="16" t="inlineStr">
        <is>
          <t>oui</t>
        </is>
      </c>
      <c r="J41" s="16" t="inlineStr">
        <is>
          <t>https://help.blueberryfunded.com/</t>
        </is>
      </c>
    </row>
    <row r="42">
      <c r="A42" s="16" t="inlineStr">
        <is>
          <t>trading</t>
        </is>
      </c>
      <c r="B42" s="16" t="inlineStr">
        <is>
          <t>Minimum holding time</t>
        </is>
      </c>
      <c r="C42" s="16" t="inlineStr">
        <is>
          <t>The August 2026 fee document requires a funded position to be held at least five minutes to count.</t>
        </is>
      </c>
      <c r="D42" s="16" t="inlineStr">
        <is>
          <t>confirmed</t>
        </is>
      </c>
      <c r="E42" s="16" t="n"/>
      <c r="F42" s="16" t="n"/>
      <c r="G42" s="16" t="inlineStr">
        <is>
          <t>funded</t>
        </is>
      </c>
      <c r="H42" s="16" t="inlineStr">
        <is>
          <t>oui</t>
        </is>
      </c>
      <c r="I42" s="16" t="n"/>
      <c r="J42" s="16" t="inlineStr">
        <is>
          <t>https://blueberryfunded.com/wp-content/uploads/2026/08/BBF-Trading-Evaluation-Outline-and-Fees-August-2026.pdf</t>
        </is>
      </c>
    </row>
    <row r="43">
      <c r="A43" s="16" t="inlineStr">
        <is>
          <t>trading</t>
        </is>
      </c>
      <c r="B43" s="16" t="inlineStr">
        <is>
          <t>Risk Limiter</t>
        </is>
      </c>
      <c r="C43" s="16" t="inlineStr">
        <is>
          <t>The risk team may place a trader under a 1% limit per trade idea, with a mandatory stop-loss on every order. The decision is theirs, announced by email, and it follows every account you hold.</t>
        </is>
      </c>
      <c r="D43" s="16" t="inlineStr">
        <is>
          <t>confirmed</t>
        </is>
      </c>
      <c r="E43" s="16" t="n"/>
      <c r="F43" s="16" t="n"/>
      <c r="G43" s="16" t="n"/>
      <c r="H43" s="16" t="n"/>
      <c r="I43" s="16" t="n"/>
      <c r="J43" s="16" t="inlineStr">
        <is>
          <t>https://help.blueberryfunded.com/en/articles/14051055-risk-limiter</t>
        </is>
      </c>
    </row>
    <row r="44">
      <c r="A44" s="16" t="inlineStr">
        <is>
          <t>trading</t>
        </is>
      </c>
      <c r="B44" s="16" t="inlineStr">
        <is>
          <t>Restricted countries</t>
        </is>
      </c>
      <c r="C44" s="16" t="inlineStr">
        <is>
          <t>The help centre lists 16 countries, including the United States and Australia. The August 2026 fee document lists nine territories. The two official lists differ.</t>
        </is>
      </c>
      <c r="D44" s="16" t="inlineStr">
        <is>
          <t>source_conflict</t>
        </is>
      </c>
      <c r="E44" s="16" t="n"/>
      <c r="F44" s="16" t="n"/>
      <c r="G44" s="16" t="n"/>
      <c r="H44" s="16" t="n"/>
      <c r="I44" s="16" t="n"/>
      <c r="J44" s="16" t="inlineStr">
        <is>
          <t>https://help.blueberryfunded.com/en/articles/9550574-are-any-countries-restricted-from-purchasing-an-evaluation</t>
        </is>
      </c>
    </row>
    <row r="45">
      <c r="A45" s="16" t="inlineStr">
        <is>
          <t>payouts</t>
        </is>
      </c>
      <c r="B45" s="16" t="inlineStr">
        <is>
          <t>Termination without cause</t>
        </is>
      </c>
      <c r="C45" s="16" t="inlineStr">
        <is>
          <t>Clause 18.2 of the terms reads: « The Company may terminate your use of the Services for any reason and without cause at any time. » Clause 18.4 lets the firm suspend an account instead, for a length it decides.</t>
        </is>
      </c>
      <c r="D45" s="16" t="inlineStr">
        <is>
          <t>confirmed</t>
        </is>
      </c>
      <c r="E45" s="16" t="n"/>
      <c r="F45" s="16" t="n"/>
      <c r="G45" s="16" t="n"/>
      <c r="H45" s="16" t="n"/>
      <c r="I45" s="16" t="inlineStr">
        <is>
          <t>oui</t>
        </is>
      </c>
      <c r="J45" s="16" t="inlineStr">
        <is>
          <t>https://blueberryfunded.com/wp-content/uploads/2024/08/BBF-Technology-Access-and-Trader-Assessment-Program-Terms-and-Conditions.pdf</t>
        </is>
      </c>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Blueberry Funded stands out for the breadth of its catalogue and for risk profiles that genuinely differ. Prime is the most permissive route on concentration and position size; Flex gives more total room and the better split, but adds a strict limit per trade idea, its own news policy and no weekend holding. The Instant accounts skip the evaluation, at the cost of a trailing drawdown that locks at the starting balance. One thing to keep in view: Trustpilot no longer publishes a score for this firm and shows a warning about fake reviews it removed. That is not proof a payout will be refused, but it does mean no average can be shown as evidence of trust.</t>
        </is>
      </c>
    </row>
    <row r="4">
      <c r="A4" s="17" t="inlineStr">
        <is>
          <t>pour_qui</t>
        </is>
      </c>
      <c r="B4" s="24" t="n">
        <v>1</v>
      </c>
      <c r="C4" s="17" t="inlineStr">
        <is>
          <t>Traders who pick a route to match their own risk habits.</t>
        </is>
      </c>
    </row>
    <row r="5">
      <c r="A5" s="17" t="inlineStr">
        <is>
          <t>pour_qui</t>
        </is>
      </c>
      <c r="B5" s="24" t="n">
        <v>2</v>
      </c>
      <c r="C5" s="17" t="inlineStr">
        <is>
          <t>Prime traders who want few restrictions on concentration and lot size.</t>
        </is>
      </c>
    </row>
    <row r="6">
      <c r="A6" s="16" t="inlineStr">
        <is>
          <t>pour_qui</t>
        </is>
      </c>
      <c r="B6" s="23" t="n">
        <v>3</v>
      </c>
      <c r="C6" s="16" t="inlineStr">
        <is>
          <t>Flex traders disciplined enough to hold 1% per trade idea.</t>
        </is>
      </c>
    </row>
    <row r="7">
      <c r="A7" s="16" t="inlineStr">
        <is>
          <t>pour_qui</t>
        </is>
      </c>
      <c r="B7" s="23" t="n">
        <v>4</v>
      </c>
      <c r="C7" s="16" t="inlineStr">
        <is>
          <t>Synthetic index traders, on MetaTrader 5.</t>
        </is>
      </c>
    </row>
    <row r="8">
      <c r="A8" s="16" t="inlineStr">
        <is>
          <t>limite</t>
        </is>
      </c>
      <c r="B8" s="23" t="n">
        <v>1</v>
      </c>
      <c r="C8" s="16" t="inlineStr">
        <is>
          <t>The rules change from one program to the next: nothing carries across.</t>
        </is>
      </c>
    </row>
    <row r="9">
      <c r="A9" s="16" t="inlineStr">
        <is>
          <t>limite</t>
        </is>
      </c>
      <c r="B9" s="23" t="n">
        <v>2</v>
      </c>
      <c r="C9" s="16" t="inlineStr">
        <is>
          <t>Flex bars weekend holding and widens the news window to five minutes.</t>
        </is>
      </c>
    </row>
    <row r="10">
      <c r="A10" s="16" t="inlineStr">
        <is>
          <t>limite</t>
        </is>
      </c>
      <c r="B10" s="23" t="n">
        <v>3</v>
      </c>
      <c r="C10" s="16" t="inlineStr">
        <is>
          <t>On the Instant accounts, a payout does not reset the trailing drawdown.</t>
        </is>
      </c>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this a futures prop firm?</t>
        </is>
      </c>
      <c r="C3" s="16" t="inlineStr">
        <is>
          <t>No. Blueberry Funded sells simulated CFD accounts. Blueberry Futures is a separate product.</t>
        </is>
      </c>
    </row>
    <row r="4">
      <c r="A4" s="23" t="n">
        <v>2</v>
      </c>
      <c r="B4" s="16" t="inlineStr">
        <is>
          <t>Which platforms can I use?</t>
        </is>
      </c>
      <c r="C4" s="16" t="inlineStr">
        <is>
          <t>MetaTrader 5 and TradeLocker, chosen at checkout. The Synthetic program runs on MetaTrader 5 only. MT4 and DXtrade are not offered today.</t>
        </is>
      </c>
    </row>
    <row r="5">
      <c r="A5" s="23" t="n">
        <v>3</v>
      </c>
      <c r="B5" s="16" t="inlineStr">
        <is>
          <t>What is the cheapest way in?</t>
        </is>
      </c>
      <c r="C5" s="16" t="inlineStr">
        <is>
          <t>The Synthetic $5,000 account, at $25. For instant funding, Instant Lite starts at $42.50 for $1,250.</t>
        </is>
      </c>
    </row>
    <row r="6">
      <c r="A6" s="23" t="n">
        <v>4</v>
      </c>
      <c r="B6" s="16" t="inlineStr">
        <is>
          <t>Which program pays the most?</t>
        </is>
      </c>
      <c r="C6" s="16" t="inlineStr">
        <is>
          <t>Flex 1 Step pays 85%. The others pay 80%, and the evaluation routes can climb towards 90% through scaling.</t>
        </is>
      </c>
    </row>
    <row r="7">
      <c r="A7" s="23" t="n">
        <v>5</v>
      </c>
      <c r="B7" s="16" t="inlineStr">
        <is>
          <t>Can I hold positions overnight and over the weekend?</t>
        </is>
      </c>
      <c r="C7" s="16" t="inlineStr">
        <is>
          <t>Overnight on every program. Over the weekend on every program except Flex 1 Step.</t>
        </is>
      </c>
    </row>
    <row r="8">
      <c r="A8" s="23" t="n">
        <v>6</v>
      </c>
      <c r="B8" s="16" t="inlineStr">
        <is>
          <t>Can I trade the news?</t>
        </is>
      </c>
      <c r="C8" s="16" t="inlineStr">
        <is>
          <t>It depends on the route. The standard policy bars any order two minutes either side of a scheduled high-impact release. Prime only bars new positions. Flex widens the window to five minutes and counts strikes that survive into the funded account.</t>
        </is>
      </c>
    </row>
    <row r="9">
      <c r="A9" s="23" t="n">
        <v>7</v>
      </c>
      <c r="B9" s="16" t="inlineStr">
        <is>
          <t>Are expert advisors allowed?</t>
        </is>
      </c>
      <c r="C9" s="16" t="inlineStr">
        <is>
          <t>Your own, declared and approved, yes. Commercial, rented or shared ones, no. The Synthetic program bars them entirely.</t>
        </is>
      </c>
    </row>
    <row r="10">
      <c r="A10" s="23" t="n">
        <v>8</v>
      </c>
      <c r="B10" s="16" t="inlineStr">
        <is>
          <t>When can I withdraw?</t>
        </is>
      </c>
      <c r="C10" s="16" t="inlineStr">
        <is>
          <t>Every 14 days once the program's conditions are met, from $100 on most routes. Add-ons sold at checkout can shorten the cycle to seven days or make payouts available on demand.</t>
        </is>
      </c>
    </row>
    <row r="11">
      <c r="A11" s="23" t="n">
        <v>9</v>
      </c>
      <c r="B11" s="16" t="inlineStr">
        <is>
          <t>What is the Trustpilot score?</t>
        </is>
      </c>
      <c r="C11" s="16" t="inlineStr">
        <is>
          <t>There is none right now: Trustpilot has suspended the score for a breach of its rules and removed a number of fake reviews. The page held 1,733 reviews on 27 September 2026.</t>
        </is>
      </c>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limited_offer</t>
        </is>
      </c>
      <c r="J4" s="11" t="inlineStr">
        <is>
          <t>evaluation_3</t>
        </is>
      </c>
      <c r="K4" s="11" t="inlineStr">
        <is>
          <t>Trailing Intraday</t>
        </is>
      </c>
      <c r="L4" s="11" t="inlineStr">
        <is>
          <t>GBP</t>
        </is>
      </c>
      <c r="M4" s="11" t="inlineStr">
        <is>
          <t>non_confirmee</t>
        </is>
      </c>
      <c r="O4" s="11" t="inlineStr">
        <is>
          <t>limite</t>
        </is>
      </c>
      <c r="P4" s="11" t="inlineStr">
        <is>
          <t>live</t>
        </is>
      </c>
      <c r="Q4" s="11" t="inlineStr">
        <is>
          <t>evaluation_3</t>
        </is>
      </c>
    </row>
    <row r="5">
      <c r="A5" s="11" t="inlineStr">
        <is>
          <t>needs_confirmation</t>
        </is>
      </c>
      <c r="F5" t="inlineStr">
        <is>
          <t>certification</t>
        </is>
      </c>
      <c r="G5" s="11" t="inlineStr">
        <is>
          <t>crypto</t>
        </is>
      </c>
      <c r="I5" t="inlineStr">
        <is>
          <t>retired</t>
        </is>
      </c>
      <c r="J5" t="inlineStr">
        <is>
          <t>funded</t>
        </is>
      </c>
      <c r="K5" s="11" t="inlineStr">
        <is>
          <t>Static</t>
        </is>
      </c>
      <c r="Q5" t="inlineStr">
        <is>
          <t>funded</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2026-09-29T07:57:00Z</dcterms:modified>
</cp:coreProperties>
</file>