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Firme" sheetId="2" state="visible" r:id="rId2"/>
    <sheet name="ConnuPour" sheetId="3" state="visible" r:id="rId3"/>
    <sheet name="Preuves" sheetId="4" state="visible" r:id="rId4"/>
    <sheet name="Plateformes" sheetId="5" state="visible" r:id="rId5"/>
    <sheet name="Programmes" sheetId="6" state="visible" r:id="rId6"/>
    <sheet name="Plans" sheetId="7" state="visible" r:id="rId7"/>
    <sheet name="Phases" sheetId="8" state="visible" r:id="rId8"/>
    <sheet name="OptionsAchat" sheetId="9" state="visible" r:id="rId9"/>
    <sheet name="Offre" sheetId="10" state="visible" r:id="rId10"/>
    <sheet name="Conditions" sheetId="11" state="visible" r:id="rId11"/>
    <sheet name="Parcours" sheetId="12" state="visible" r:id="rId12"/>
    <sheet name="Formation" sheetId="13" state="visible" r:id="rId13"/>
    <sheet name="ComptesApresReussite" sheetId="14" state="visible" r:id="rId14"/>
    <sheet name="Couts" sheetId="15" state="visible" r:id="rId15"/>
    <sheet name="Regles" sheetId="16" state="visible" r:id="rId16"/>
    <sheet name="Verdict" sheetId="17" state="visible" r:id="rId17"/>
    <sheet name="FAQ" sheetId="18" state="visible" r:id="rId18"/>
    <sheet name="Listes" sheetId="19" state="hidden" r:id="rId19"/>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11">
    <font>
      <name val="Calibri"/>
      <family val="2"/>
      <color theme="1"/>
      <sz val="11"/>
      <scheme val="minor"/>
    </font>
    <font>
      <name val="Arial"/>
      <b val="1"/>
      <color rgb="00111827"/>
      <sz val="15"/>
    </font>
    <font>
      <name val="Arial"/>
      <color rgb="004B5563"/>
      <sz val="10"/>
    </font>
    <font>
      <name val="Arial"/>
      <b val="1"/>
      <color rgb="00111827"/>
      <sz val="11"/>
    </font>
    <font>
      <name val="Arial"/>
      <color rgb="000000FF"/>
      <sz val="10"/>
    </font>
    <font>
      <name val="Arial"/>
      <color rgb="00111827"/>
      <sz val="10"/>
    </font>
    <font>
      <name val="Arial"/>
      <i val="1"/>
      <color rgb="006B7280"/>
      <sz val="10"/>
    </font>
    <font>
      <name val="Arial"/>
      <b val="1"/>
      <color rgb="00374151"/>
      <sz val="10"/>
    </font>
    <font>
      <name val="Arial"/>
      <b val="1"/>
      <color rgb="00111827"/>
      <sz val="10"/>
    </font>
    <font>
      <name val="Arial"/>
      <i val="1"/>
      <color rgb="004B5563"/>
      <sz val="9"/>
    </font>
    <font>
      <name val="Arial"/>
      <b val="1"/>
      <color rgb="00FFFFFF"/>
      <sz val="10"/>
    </font>
  </fonts>
  <fills count="7">
    <fill>
      <patternFill/>
    </fill>
    <fill>
      <patternFill patternType="gray125"/>
    </fill>
    <fill>
      <patternFill patternType="solid">
        <fgColor rgb="00FFF6CC"/>
      </patternFill>
    </fill>
    <fill>
      <patternFill patternType="solid">
        <fgColor rgb="00E8EDF4"/>
      </patternFill>
    </fill>
    <fill>
      <patternFill patternType="solid">
        <fgColor rgb="00E5E7EB"/>
      </patternFill>
    </fill>
    <fill>
      <patternFill patternType="solid">
        <fgColor rgb="001F2937"/>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5" fillId="0" borderId="0" applyAlignment="1" pivotButton="0" quotePrefix="0" xfId="0">
      <alignment vertical="top" wrapText="1"/>
    </xf>
    <xf numFmtId="0" fontId="6" fillId="3" borderId="1" pivotButton="0" quotePrefix="0" xfId="0"/>
    <xf numFmtId="0" fontId="7" fillId="4" borderId="1" pivotButton="0" quotePrefix="0" xfId="0"/>
    <xf numFmtId="0" fontId="5" fillId="0" borderId="1" pivotButton="0" quotePrefix="0" xfId="0"/>
    <xf numFmtId="0" fontId="8" fillId="0" borderId="0" pivotButton="0" quotePrefix="0" xfId="0"/>
    <xf numFmtId="0" fontId="9" fillId="0" borderId="0" pivotButton="0" quotePrefix="0" xfId="0"/>
    <xf numFmtId="0" fontId="5" fillId="0" borderId="0" pivotButton="0" quotePrefix="0" xfId="0"/>
    <xf numFmtId="0" fontId="7" fillId="4" borderId="1" applyAlignment="1" pivotButton="0" quotePrefix="0" xfId="0">
      <alignment horizontal="left"/>
    </xf>
    <xf numFmtId="0" fontId="9" fillId="0" borderId="0" applyAlignment="1" pivotButton="0" quotePrefix="0" xfId="0">
      <alignment horizontal="center"/>
    </xf>
    <xf numFmtId="0" fontId="10" fillId="5" borderId="1" applyAlignment="1" pivotButton="0" quotePrefix="0" xfId="0">
      <alignment horizontal="center" vertical="center" wrapText="1"/>
    </xf>
    <xf numFmtId="0" fontId="8" fillId="0" borderId="1" applyAlignment="1" pivotButton="0" quotePrefix="0" xfId="0">
      <alignment vertical="top" wrapText="1"/>
    </xf>
    <xf numFmtId="0" fontId="4" fillId="2" borderId="1" applyAlignment="1" pivotButton="0" quotePrefix="0" xfId="0">
      <alignment vertical="top" wrapText="1"/>
    </xf>
    <xf numFmtId="0" fontId="6" fillId="3" borderId="1" applyAlignment="1" pivotButton="0" quotePrefix="0" xfId="0">
      <alignment vertical="top" wrapText="1"/>
    </xf>
    <xf numFmtId="0" fontId="9" fillId="0" borderId="1" applyAlignment="1" pivotButton="0" quotePrefix="0" xfId="0">
      <alignment vertical="top" wrapText="1"/>
    </xf>
    <xf numFmtId="164" fontId="4" fillId="2" borderId="1" applyAlignment="1" pivotButton="0" quotePrefix="0" xfId="0">
      <alignment vertical="top" wrapText="1"/>
    </xf>
    <xf numFmtId="164" fontId="6" fillId="3" borderId="1" applyAlignment="1" pivotButton="0" quotePrefix="0" xfId="0">
      <alignment vertical="top" wrapText="1"/>
    </xf>
    <xf numFmtId="3" fontId="4" fillId="2" borderId="1" applyAlignment="1" pivotButton="0" quotePrefix="0" xfId="0">
      <alignment vertical="top" wrapText="1"/>
    </xf>
    <xf numFmtId="3" fontId="6" fillId="3" borderId="1" applyAlignment="1" pivotButton="0" quotePrefix="0" xfId="0">
      <alignment vertical="top" wrapText="1"/>
    </xf>
    <xf numFmtId="1" fontId="4" fillId="2" borderId="1" applyAlignment="1" pivotButton="0" quotePrefix="0" xfId="0">
      <alignment vertical="top" wrapText="1"/>
    </xf>
    <xf numFmtId="1" fontId="6" fillId="3" borderId="1" applyAlignment="1" pivotButton="0" quotePrefix="0" xfId="0">
      <alignment vertical="top" wrapText="1"/>
    </xf>
    <xf numFmtId="0" fontId="9" fillId="6" borderId="1" applyAlignment="1" pivotButton="0" quotePrefix="0" xfId="0">
      <alignment vertical="top" wrapText="1"/>
    </xf>
    <xf numFmtId="1" fontId="7" fillId="4" borderId="1" applyAlignment="1" pivotButton="0" quotePrefix="0" xfId="0">
      <alignment vertical="top" wrapText="1"/>
    </xf>
    <xf numFmtId="4" fontId="6" fillId="3" borderId="1" applyAlignment="1" pivotButton="0" quotePrefix="0" xfId="0">
      <alignment vertical="top" wrapText="1"/>
    </xf>
    <xf numFmtId="0" fontId="7" fillId="4" borderId="1" applyAlignment="1" pivotButton="0" quotePrefix="0" xfId="0">
      <alignment vertical="top" wrapText="1"/>
    </xf>
    <xf numFmtId="4" fontId="4" fillId="2" borderId="1" applyAlignment="1" pivotButton="0" quotePrefix="0" xfId="0">
      <alignment vertical="top" wrapText="1"/>
    </xf>
    <xf numFmtId="9" fontId="6" fillId="3" borderId="1" applyAlignment="1" pivotButton="0" quotePrefix="0" xfId="0">
      <alignment vertical="top" wrapText="1"/>
    </xf>
    <xf numFmtId="9" fontId="4" fillId="2" borderId="1" applyAlignment="1" pivotButton="0" quotePrefix="0" xfId="0">
      <alignment vertical="top" wrapText="1"/>
    </xf>
    <xf numFmtId="165" fontId="4" fillId="2" borderId="1" applyAlignment="1" pivotButton="0" quotePrefix="0" xfId="0">
      <alignment vertical="top" wrapText="1"/>
    </xf>
    <xf numFmtId="165"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2.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3.xml><?xml version="1.0" encoding="utf-8"?>
<comments xmlns="http://schemas.openxmlformats.org/spreadsheetml/2006/main">
  <authors>
    <author>PropFirmScanner</author>
  </authors>
  <commentList>
    <comment ref="A3" authorId="0" shapeId="0">
      <text>
        <t>Le releve FuturesElite ne contient aucun chiffre de ce type : aucun exemple n'a ete invente.</t>
      </text>
    </comment>
  </commentList>
</comments>
</file>

<file path=xl/comments/comment4.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5.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6.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 ref="F3" authorId="0" shapeId="0">
      <text>
        <t>Choix editorial pour l'exemple, pas une donnee de popularite : le releve ne dit pas quel plan est le plus vendu.</t>
      </text>
    </comment>
  </commentList>
</comments>
</file>

<file path=xl/comments/comment7.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8.xml><?xml version="1.0" encoding="utf-8"?>
<comments xmlns="http://schemas.openxmlformats.org/spreadsheetml/2006/main">
  <authors>
    <author>PropFirmScanner</author>
  </authors>
  <commentList>
    <comment ref="A3" authorId="0" shapeId="0">
      <text>
        <t>A remplir seulement si le choix change le prix, les regles ou le lien de paiement. FuturesElite n'en a pas : aucun exemple.</t>
      </text>
    </comment>
  </commentList>
</comments>
</file>

<file path=xl/comments/comment9.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10.xml><?xml version="1.0" encoding="utf-8"?>
<comments xmlns="http://schemas.openxmlformats.org/spreadsheetml/2006/main">
  <authors>
    <author>PropFirmScanner</author>
  </authors>
  <commentList>
    <comment ref="C2" authorId="0" shapeId="0">
      <text>
        <t>Exemple : valeurs reelles FuturesElite, releve du 7 septembre 2026. A remplacer.</t>
      </text>
    </comment>
  </commentList>
</comments>
</file>

<file path=xl/comments/comment11.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2.xml><?xml version="1.0" encoding="utf-8"?>
<comments xmlns="http://schemas.openxmlformats.org/spreadsheetml/2006/main">
  <authors>
    <author>PropFirmScanner</author>
  </authors>
  <commentList>
    <comment ref="A3" authorId="0" shapeId="0">
      <text>
        <t>FuturesElite n'inclut pas de formation : aucun exemple.</t>
      </text>
    </comment>
  </commentList>
</comments>
</file>

<file path=xl/comments/comment13.xml><?xml version="1.0" encoding="utf-8"?>
<comments xmlns="http://schemas.openxmlformats.org/spreadsheetml/2006/main">
  <authors>
    <author>PropFirmScanner</author>
  </authors>
  <commentList>
    <comment ref="A3" authorId="0" shapeId="0">
      <text>
        <t>Le releve FuturesElite n'en decrit pas : aucun exemple.</t>
      </text>
    </comment>
  </commentList>
</comments>
</file>

<file path=xl/comments/comment14.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5.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6.xml><?xml version="1.0" encoding="utf-8"?>
<comments xmlns="http://schemas.openxmlformats.org/spreadsheetml/2006/main">
  <authors>
    <author>PropFirmScanner</author>
  </authors>
  <commentList>
    <comment ref="A3" authorId="0" shapeId="0">
      <text>
        <t>Exemple : valeurs reelles FuturesElite, releve du 7 septembre 2026. A remplacer.</t>
      </text>
    </comment>
  </commentList>
</comments>
</file>

<file path=xl/comments/comment17.xml><?xml version="1.0" encoding="utf-8"?>
<comments xmlns="http://schemas.openxmlformats.org/spreadsheetml/2006/main">
  <authors>
    <author>PropFirmScanner</author>
  </authors>
  <commentList>
    <comment ref="C3" authorId="0" shapeId="0">
      <text>
        <t>Le releve FuturesElite du 7 septembre 2026 ne contient aucune FAQ : aucune reponse d'exemple n'a ete inventee.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3.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4.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5.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6.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7.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8.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sheet1.xml><?xml version="1.0" encoding="utf-8"?>
<worksheet xmlns="http://schemas.openxmlformats.org/spreadsheetml/2006/main">
  <sheetPr>
    <tabColor rgb="00FF7A00"/>
    <outlinePr summaryBelow="1" summaryRight="1"/>
    <pageSetUpPr/>
  </sheetPr>
  <dimension ref="B2:D40"/>
  <sheetViews>
    <sheetView showGridLines="0" workbookViewId="0">
      <selection activeCell="A1" sqref="A1"/>
    </sheetView>
  </sheetViews>
  <sheetFormatPr baseColWidth="8" defaultRowHeight="15"/>
  <cols>
    <col width="3" customWidth="1" min="1" max="1"/>
    <col width="34" customWidth="1" min="2" max="2"/>
    <col width="66" customWidth="1" min="3" max="3"/>
    <col width="18" customWidth="1" min="4" max="4"/>
  </cols>
  <sheetData>
    <row r="2">
      <c r="B2" s="1" t="inlineStr">
        <is>
          <t>Fiche prop firm — fichier a remplir</t>
        </is>
      </c>
    </row>
    <row r="3">
      <c r="B3" s="2" t="inlineStr">
        <is>
          <t>Aligne sur le gabarit HTML « Universal Prop Firm Page ». Un fichier par firme : la page se construit a partir de lui, et de rien d'autre.</t>
        </is>
      </c>
    </row>
    <row r="5">
      <c r="B5" s="3" t="inlineStr">
        <is>
          <t>COMMENT REMPLIR</t>
        </is>
      </c>
    </row>
    <row r="6">
      <c r="B6" s="4" t="inlineStr">
        <is>
          <t>Cellule jaune, texte bleu</t>
        </is>
      </c>
      <c r="C6" s="5" t="inlineStr">
        <is>
          <t>A remplir.</t>
        </is>
      </c>
    </row>
    <row r="7">
      <c r="B7" s="6" t="inlineStr">
        <is>
          <t>Cellule gris-bleu, italique</t>
        </is>
      </c>
      <c r="C7" s="5" t="inlineStr">
        <is>
          <t>Exemple reel FuturesElite (7 sept. 2026). Remplace-le par ta firme.</t>
        </is>
      </c>
    </row>
    <row r="8">
      <c r="B8" s="7" t="inlineStr">
        <is>
          <t>Cellule grise « (auto) »</t>
        </is>
      </c>
      <c r="C8" s="5" t="inlineStr">
        <is>
          <t>Calculee toute seule. Ne pas modifier.</t>
        </is>
      </c>
    </row>
    <row r="9">
      <c r="B9" s="8" t="inlineStr">
        <is>
          <t>Liste deroulante</t>
        </is>
      </c>
      <c r="C9" s="5" t="inlineStr">
        <is>
          <t>Valeur imposee, pour que la meme chose s'ecrive toujours pareil.</t>
        </is>
      </c>
    </row>
    <row r="10">
      <c r="B10" s="8" t="inlineStr">
        <is>
          <t>Cellule vide</t>
        </is>
      </c>
      <c r="C10" s="5" t="inlineStr">
        <is>
          <t>Carte d'identite et bande : la case affiche « — ». Ailleurs, l'emplacement disparait. Rien n'est invente.</t>
        </is>
      </c>
    </row>
    <row r="12">
      <c r="B12" s="3" t="inlineStr">
        <is>
          <t>CE QUE CHAQUE ONGLET REMPLIT DANS LE HTML</t>
        </is>
      </c>
    </row>
    <row r="13" ht="30" customHeight="1">
      <c r="B13" s="9" t="inlineStr">
        <is>
          <t>ConnuPour · Preuves</t>
        </is>
      </c>
      <c r="C13" s="5" t="inlineStr">
        <is>
          <t>Nouvelle page : « What [Firm] is known for » (4 faits) · chiffres sous la description</t>
        </is>
      </c>
    </row>
    <row r="14" ht="30" customHeight="1">
      <c r="B14" s="9" t="inlineStr">
        <is>
          <t>Plateformes · OptionsAchat</t>
        </is>
      </c>
      <c r="C14" s="5" t="inlineStr">
        <is>
          <t>Nouvelle page : « Platforms » (selectionnables seulement) · etapes plateforme / data feed du configurateur</t>
        </is>
      </c>
    </row>
    <row r="15" ht="30" customHeight="1">
      <c r="B15" s="9" t="inlineStr">
        <is>
          <t>Formation · ComptesApresReussite</t>
        </is>
      </c>
      <c r="C15" s="5" t="inlineStr">
        <is>
          <t>Nouvelle page : modules optionnels, absents si vides</t>
        </is>
      </c>
    </row>
    <row r="16" ht="30" customHeight="1">
      <c r="B16" s="9" t="inlineStr">
        <is>
          <t>Firme</t>
        </is>
      </c>
      <c r="C16" s="5" t="inlineStr">
        <is>
          <t>Carte d'identite (logo, marche, nom, presentation, Founded, Country, CEO, type) · Bande : Tradable assets, Platforms, Payment methods, Trading profile</t>
        </is>
      </c>
    </row>
    <row r="17" ht="30" customHeight="1">
      <c r="B17" s="9" t="inlineStr">
        <is>
          <t>Programmes · Plans · Phases</t>
        </is>
      </c>
      <c r="C17" s="5" t="inlineStr">
        <is>
          <t>« Account configurator » : les etapes, le prix, la selection · « Rules by phase » : le tableau Evaluation / Funded</t>
        </is>
      </c>
    </row>
    <row r="18" ht="30" customHeight="1">
      <c r="B18" s="9" t="inlineStr">
        <is>
          <t>Offre</t>
        </is>
      </c>
      <c r="C18" s="5" t="inlineStr">
        <is>
          <t>Carte promo en haut (% OFF, code, mention) · Code et mention dans « Your selection »</t>
        </is>
      </c>
    </row>
    <row r="19" ht="30" customHeight="1">
      <c r="B19" s="9" t="inlineStr">
        <is>
          <t>Conditions</t>
        </is>
      </c>
      <c r="C19" s="5" t="inlineStr">
        <is>
          <t>« Trading and payout conditions » : les cartes TRADING, COMMISSION, PAYOUTS</t>
        </is>
      </c>
    </row>
    <row r="20" ht="30" customHeight="1">
      <c r="B20" s="9" t="inlineStr">
        <is>
          <t>Parcours</t>
        </is>
      </c>
      <c r="C20" s="5" t="inlineStr">
        <is>
          <t>« From evaluation to your first payout » : les etapes, dans l'ordre</t>
        </is>
      </c>
    </row>
    <row r="21" ht="30" customHeight="1">
      <c r="B21" s="9" t="inlineStr">
        <is>
          <t>Couts</t>
        </is>
      </c>
      <c r="C21" s="5" t="inlineStr">
        <is>
          <t>Nouvelle page : carte FEES de « Trading and payout conditions » · ancienne page : « What you will actually pay »</t>
        </is>
      </c>
    </row>
    <row r="22" ht="30" customHeight="1">
      <c r="B22" s="9" t="inlineStr">
        <is>
          <t>Regles</t>
        </is>
      </c>
      <c r="C22" s="5" t="inlineStr">
        <is>
          <t>Cartes Trading et Payouts : regles de conduite, filtrees par programme, taille et phase</t>
        </is>
      </c>
    </row>
    <row r="23" ht="30" customHeight="1">
      <c r="B23" s="9" t="inlineStr">
        <is>
          <t>Verdict</t>
        </is>
      </c>
      <c r="C23" s="5" t="inlineStr">
        <is>
          <t>« PropFirmScanner verdict » : Our view, Best for, Things to know</t>
        </is>
      </c>
    </row>
    <row r="24" ht="30" customHeight="1">
      <c r="B24" s="9" t="inlineStr">
        <is>
          <t>FAQ</t>
        </is>
      </c>
      <c r="C24" s="5" t="inlineStr">
        <is>
          <t>« Frequently asked questions » : les 5 questions du gabarit sont deja ecrites, il reste les reponses</t>
        </is>
      </c>
    </row>
    <row r="26">
      <c r="B26" s="3" t="inlineStr">
        <is>
          <t>LES REGLES QUI EVITENT LES ERREURS</t>
        </is>
      </c>
    </row>
    <row r="27" ht="30" customHeight="1">
      <c r="B27" s="9" t="inlineStr">
        <is>
          <t>Un plan, plusieurs phases</t>
        </is>
      </c>
      <c r="C27" s="5" t="inlineStr">
        <is>
          <t>Un plan = programme + variante + taille (onglet Plans). Ses phases Evaluation et Funded vont dans l'onglet Phases, une ligne chacune.</t>
        </is>
      </c>
    </row>
    <row r="28" ht="30" customHeight="1">
      <c r="B28" s="9" t="inlineStr">
        <is>
          <t>Un seul plan dans la carte promo</t>
        </is>
      </c>
      <c r="C28" s="5" t="inlineStr">
        <is>
          <t>Mets « oui » dans plan_carte_promo sur UN seul plan : c'est lui qui s'affiche dans la carte en haut de page.</t>
        </is>
      </c>
    </row>
    <row r="29" ht="30" customHeight="1">
      <c r="B29" s="9" t="inlineStr">
        <is>
          <t>Valeur inconnue</t>
        </is>
      </c>
      <c r="C29" s="5" t="inlineStr">
        <is>
          <t>Ecris un statut plutot que de laisser vide : not_published, not_applicable, needs_confirmation, source_conflict. Une cellule vide masque la ligne.</t>
        </is>
      </c>
    </row>
    <row r="30" ht="30" customHeight="1">
      <c r="B30" s="9" t="inlineStr">
        <is>
          <t>Le JSON</t>
        </is>
      </c>
      <c r="C30" s="5" t="inlineStr">
        <is>
          <t>data/firms/&lt;slug&gt;.json est genere par scripts/xlsx_to_firm.py. On ne le modifie jamais a la main.</t>
        </is>
      </c>
    </row>
    <row r="31" ht="30" customHeight="1">
      <c r="B31" s="9" t="inlineStr">
        <is>
          <t>Un code promo non confirme</t>
        </is>
      </c>
      <c r="C31" s="5" t="inlineStr">
        <is>
          <t>Si sa portee n'est pas confirmee, le prix remise s'affiche avec « ≈ » devant.</t>
        </is>
      </c>
    </row>
    <row r="33">
      <c r="B33" s="3" t="inlineStr">
        <is>
          <t>CONTROLES AUTOMATIQUES</t>
        </is>
      </c>
      <c r="D33" s="10" t="inlineStr">
        <is>
          <t>attendu</t>
        </is>
      </c>
    </row>
    <row r="34">
      <c r="B34" s="11" t="inlineStr">
        <is>
          <t>Programmes</t>
        </is>
      </c>
      <c r="C34" s="12">
        <f>COUNTA(Programmes!A3:A60)</f>
        <v/>
      </c>
      <c r="D34" s="13" t="inlineStr">
        <is>
          <t>≥ 1</t>
        </is>
      </c>
    </row>
    <row r="35">
      <c r="B35" s="11" t="inlineStr">
        <is>
          <t>Plans (selections)</t>
        </is>
      </c>
      <c r="C35" s="12">
        <f>COUNTA(Plans!A3:A300)</f>
        <v/>
      </c>
      <c r="D35" s="13" t="inlineStr">
        <is>
          <t>≥ 1</t>
        </is>
      </c>
    </row>
    <row r="36">
      <c r="B36" s="11" t="inlineStr">
        <is>
          <t>Phases</t>
        </is>
      </c>
      <c r="C36" s="12">
        <f>COUNTA(Phases!A3:A900)</f>
        <v/>
      </c>
      <c r="D36" s="13" t="inlineStr">
        <is>
          <t>≥ 1</t>
        </is>
      </c>
    </row>
    <row r="37">
      <c r="B37" s="11" t="inlineStr">
        <is>
          <t>Plans dans la carte promo</t>
        </is>
      </c>
      <c r="C37" s="12">
        <f>COUNTIF(Plans!F3:F300,"oui")</f>
        <v/>
      </c>
      <c r="D37" s="13" t="inlineStr">
        <is>
          <t>exactement 1</t>
        </is>
      </c>
    </row>
    <row r="38">
      <c r="B38" s="11" t="inlineStr">
        <is>
          <t>Phases sans plan correspondant</t>
        </is>
      </c>
      <c r="C38" s="12">
        <f>COUNTIF(Phases!O3:O900,"PLAN INCONNU")</f>
        <v/>
      </c>
      <c r="D38" s="13" t="inlineStr">
        <is>
          <t>0</t>
        </is>
      </c>
    </row>
    <row r="39">
      <c r="B39" s="11" t="inlineStr">
        <is>
          <t>Plans sans aucune phase</t>
        </is>
      </c>
      <c r="C39" s="12">
        <f>COUNTIF(Plans!L3:L300,"aucune phase")</f>
        <v/>
      </c>
      <c r="D39" s="13" t="inlineStr">
        <is>
          <t>0</t>
        </is>
      </c>
    </row>
    <row r="40">
      <c r="B40" s="11" t="inlineStr">
        <is>
          <t>Plans d'un programme inconnu</t>
        </is>
      </c>
      <c r="C40" s="12">
        <f>COUNTIF(Plans!L3:L300,"programme inconnu")</f>
        <v/>
      </c>
      <c r="D40" s="13" t="inlineStr">
        <is>
          <t>0</t>
        </is>
      </c>
    </row>
  </sheetData>
  <pageMargins left="0.75" right="0.75" top="1" bottom="1" header="0.5" footer="0.5"/>
</worksheet>
</file>

<file path=xl/worksheets/sheet2.xml><?xml version="1.0" encoding="utf-8"?>
<worksheet xmlns="http://schemas.openxmlformats.org/spreadsheetml/2006/main">
  <sheetPr>
    <tabColor rgb="001F2937"/>
    <outlinePr summaryBelow="1" summaryRight="1"/>
    <pageSetUpPr/>
  </sheetPr>
  <dimension ref="A1:D2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44" customHeight="1">
      <c r="A2" s="15" t="inlineStr">
        <is>
          <t>slug</t>
        </is>
      </c>
      <c r="B2" s="16" t="inlineStr">
        <is>
          <t>the5ers</t>
        </is>
      </c>
      <c r="C2" s="17" t="inlineStr">
        <is>
          <t>futureselite</t>
        </is>
      </c>
      <c r="D2" s="18" t="inlineStr">
        <is>
          <t>N'est pas affiche : sert a l'adresse de la page et au lien sortant. Minuscules, sans espace. Obligatoire.</t>
        </is>
      </c>
    </row>
    <row r="3" ht="44" customHeight="1">
      <c r="A3" s="15" t="inlineStr">
        <is>
          <t>nom</t>
        </is>
      </c>
      <c r="B3" s="16" t="inlineStr">
        <is>
          <t>The5ers</t>
        </is>
      </c>
      <c r="C3" s="17" t="inlineStr">
        <is>
          <t>FuturesElite</t>
        </is>
      </c>
      <c r="D3" s="18" t="inlineStr">
        <is>
          <t>Le titre de la carte d'identite, « Continue to [Firm] », le verdict et la FAQ. Obligatoire.</t>
        </is>
      </c>
    </row>
    <row r="4" ht="44" customHeight="1">
      <c r="A4" s="15" t="inlineStr">
        <is>
          <t>logo_url</t>
        </is>
      </c>
      <c r="B4" s="16" t="inlineStr">
        <is>
          <t>https://the5ers.com/wp-content/uploads/2023/01/favicon.png</t>
        </is>
      </c>
      <c r="C4" s="17" t="inlineStr">
        <is>
          <t>https://www.google.com/s2/favicons?domain=futureselite.com&amp;sz=128</t>
        </is>
      </c>
      <c r="D4" s="18" t="inlineStr">
        <is>
          <t>Le logo, en tuile blanche. Il n'est pas cliquable : les sorties passent par Claim deal et Continue to. Vide : initiale du nom.</t>
        </is>
      </c>
    </row>
    <row r="5" ht="44" customHeight="1">
      <c r="A5" s="15" t="inlineStr">
        <is>
          <t>trustpilot_score</t>
        </is>
      </c>
      <c r="B5" s="19" t="n">
        <v>4.7</v>
      </c>
      <c r="C5" s="20" t="n">
        <v>4.5</v>
      </c>
      <c r="D5" s="18" t="inlineStr">
        <is>
          <t>Hero, angle haut droit : note sur 5. Vide : le bloc Trustpilot n'apparait pas.</t>
        </is>
      </c>
    </row>
    <row r="6" ht="44" customHeight="1">
      <c r="A6" s="15" t="inlineStr">
        <is>
          <t>trustpilot_review_count</t>
        </is>
      </c>
      <c r="B6" s="21" t="n">
        <v>38563</v>
      </c>
      <c r="C6" s="22" t="n">
        <v>1200</v>
      </c>
      <c r="D6" s="18" t="inlineStr">
        <is>
          <t>Nombre d'avis sous la note.</t>
        </is>
      </c>
    </row>
    <row r="7" ht="44" customHeight="1">
      <c r="A7" s="15" t="inlineStr">
        <is>
          <t>trustpilot_url</t>
        </is>
      </c>
      <c r="B7" s="16" t="inlineStr">
        <is>
          <t>https://www.trustpilot.com/review/the5ers.com</t>
        </is>
      </c>
      <c r="C7" s="17" t="inlineStr">
        <is>
          <t>https://www.trustpilot.com/review/exemple.com</t>
        </is>
      </c>
      <c r="D7" s="18" t="inlineStr">
        <is>
          <t>Page Trustpilot de la firme : le badge y renvoie. Vide : badge non cliquable.</t>
        </is>
      </c>
    </row>
    <row r="8" ht="44" customHeight="1">
      <c r="A8" s="15" t="inlineStr">
        <is>
          <t>marches</t>
        </is>
      </c>
      <c r="B8" s="16" t="inlineStr">
        <is>
          <t>cfd, futures</t>
        </is>
      </c>
      <c r="C8" s="17" t="inlineStr">
        <is>
          <t>futures</t>
        </is>
      </c>
      <c r="D8" s="18" t="inlineStr">
        <is>
          <t>« Firm type » (deduit d'ici) et le choix du marche dans le configurateur. futures, cfd — separes par une virgule si plusieurs.</t>
        </is>
      </c>
    </row>
    <row r="9" ht="44" customHeight="1">
      <c r="A9" s="15" t="inlineStr">
        <is>
          <t>titre</t>
        </is>
      </c>
      <c r="B9" s="16" t="inlineStr">
        <is>
          <t>Ten years of funded trading, with no time limit</t>
        </is>
      </c>
      <c r="C9" s="17" t="inlineStr">
        <is>
          <t>Four routes to a funded futures account</t>
        </is>
      </c>
      <c r="D9" s="18" t="inlineStr">
        <is>
          <t>Nouvelle page : le H1, une proposition de valeur. Vide : le nom de la firme sert de H1.</t>
        </is>
      </c>
    </row>
    <row r="10" ht="44" customHeight="1">
      <c r="A10" s="15" t="inlineStr">
        <is>
          <t>description</t>
        </is>
      </c>
      <c r="B10" s="16" t="inlineStr">
        <is>
          <t>Founded in 2016, The5ers is one of the oldest CFD prop firms still trading. No evaluation has a deadline, every CFD drawdown is static rather than trailing, and positions can be held overnight and over the weekend. Four routes, from $2,500 to instant funding, plus a futures line launched in 2026.</t>
        </is>
      </c>
      <c r="C10" s="17" t="inlineStr">
        <is>
          <t>Compare Elite, Nitro, Prime and Instant to choose between a traditional evaluation, a faster route or funding from purchase.</t>
        </is>
      </c>
      <c r="D10" s="18" t="inlineStr">
        <is>
          <t>Nouvelle page : 2 a 3 lignes sous le H1.</t>
        </is>
      </c>
    </row>
    <row r="11" ht="44" customHeight="1">
      <c r="A11" s="15" t="inlineStr">
        <is>
          <t>resume</t>
        </is>
      </c>
      <c r="B11" s="16" t="n"/>
      <c r="C11" s="17" t="inlineStr">
        <is>
          <t>Elite and Prime are evaluation routes with a one-time fee and no deadline to pass. Nitro and Instant shorten or remove the evaluation entirely, Instant funding you from purchase with no objective to reach.</t>
        </is>
      </c>
      <c r="D11" s="18" t="inlineStr">
        <is>
          <t>Ancienne page seulement (retour arriere) : 1 a 2 phrases sous le nom.</t>
        </is>
      </c>
    </row>
    <row r="12" ht="44" customHeight="1">
      <c r="A12" s="15" t="inlineStr">
        <is>
          <t>presentation</t>
        </is>
      </c>
      <c r="B12" s="16" t="inlineStr">
        <is>
          <t>The5ers was founded in 2016 and trades as FIVE PERCENT ONLINE LTD, registered in Israel and in the United Kingdom. It is not regulated and does not provide financial services: it funds traders on its own capital, through commercial liquidity providers it does not name.
The firm says it employs 171 people across 24 countries, has onboarded 262,000 traders and opened more than 1.6 million trading accounts.
Four routes sit side by side. Pro Growth is a single evaluation phase. High Stakes is the two-step route, with the fee refunded in stages. Hyper Growth funds you from purchase and doubles the account at every 10% target. The futures line, launched separately, trades CME contracts on BlackArrow.</t>
        </is>
      </c>
      <c r="C12" s="17" t="inlineStr">
        <is>
          <t>FuturesElite sells simulated futures accounts across four programs. Elite and Prime are evaluation routes with a one-time fee and no deadline to pass.</t>
        </is>
      </c>
      <c r="D12" s="18" t="inlineStr">
        <is>
          <t>Section « About [Firm] » : texte developpe, paragraphes separes par une ligne vide (Alt+Entree deux fois).</t>
        </is>
      </c>
    </row>
    <row r="13" ht="44" customHeight="1">
      <c r="A13" s="15" t="inlineStr">
        <is>
          <t>annee_creation</t>
        </is>
      </c>
      <c r="B13" s="23" t="n">
        <v>2016</v>
      </c>
      <c r="C13" s="24" t="n">
        <v>2024</v>
      </c>
      <c r="D13" s="18" t="inlineStr">
        <is>
          <t>« Founded ». Vide : « — ».</t>
        </is>
      </c>
    </row>
    <row r="14" ht="44" customHeight="1">
      <c r="A14" s="15" t="inlineStr">
        <is>
          <t>pays</t>
        </is>
      </c>
      <c r="B14" s="16" t="inlineStr">
        <is>
          <t>Israel</t>
        </is>
      </c>
      <c r="C14" s="17" t="inlineStr">
        <is>
          <t>Italy</t>
        </is>
      </c>
      <c r="D14" s="18" t="inlineStr">
        <is>
          <t>« Country ».</t>
        </is>
      </c>
    </row>
    <row r="15" ht="44" customHeight="1">
      <c r="A15" s="15" t="inlineStr">
        <is>
          <t>ceo_fondateur</t>
        </is>
      </c>
      <c r="B15" s="16" t="inlineStr">
        <is>
          <t>Gil Ben Hur</t>
        </is>
      </c>
      <c r="C15" s="17" t="inlineStr">
        <is>
          <t>Christian Habibi</t>
        </is>
      </c>
      <c r="D15" s="18" t="inlineStr">
        <is>
          <t>« CEO / Founder ». Vide : « — ».</t>
        </is>
      </c>
    </row>
    <row r="16" ht="44" customHeight="1">
      <c r="A16" s="15" t="inlineStr">
        <is>
          <t>actifs</t>
        </is>
      </c>
      <c r="B16" s="16" t="n"/>
      <c r="C16" s="17" t="inlineStr">
        <is>
          <t>Futures, Forex, Metals, Indices, Energy, Crypto, Bonds, Agricultural Products</t>
        </is>
      </c>
      <c r="D16" s="18" t="inlineStr">
        <is>
          <t>Ancienne page seulement : une etiquette par actif, separes par des virgules.</t>
        </is>
      </c>
    </row>
    <row r="17" ht="44" customHeight="1">
      <c r="A17" s="15" t="inlineStr">
        <is>
          <t>categories_actifs</t>
        </is>
      </c>
      <c r="B17" s="16" t="inlineStr">
        <is>
          <t>Forex, Indices, Metals, Commodities, Crypto, Futures</t>
        </is>
      </c>
      <c r="C17" s="17" t="inlineStr">
        <is>
          <t>(vide — non confirmees)</t>
        </is>
      </c>
      <c r="D17" s="18" t="inlineStr">
        <is>
          <t>Nouvelle page, « Tradable assets » : categories precises (Index futures, Currency futures…), seulement si confirmees par la firme.</t>
        </is>
      </c>
    </row>
    <row r="18" ht="44" customHeight="1">
      <c r="A18" s="15" t="inlineStr">
        <is>
          <t>categories_actifs_statut</t>
        </is>
      </c>
      <c r="B18" s="16" t="inlineStr">
        <is>
          <t>confirmed</t>
        </is>
      </c>
      <c r="C18" s="17" t="inlineStr">
        <is>
          <t>needs_confirmation</t>
        </is>
      </c>
      <c r="D18" s="18" t="inlineStr">
        <is>
          <t>confirmed si la liste est confirmee. Ou un statut : not_published (la firme ne le publie pas), not_applicable, needs_confirmation, source_conflict. Vide : la ligne disparait.</t>
        </is>
      </c>
    </row>
    <row r="19" ht="44" customHeight="1">
      <c r="A19" s="15" t="inlineStr">
        <is>
          <t>plateformes</t>
        </is>
      </c>
      <c r="B19" s="16" t="n"/>
      <c r="C19" s="17" t="inlineStr">
        <is>
          <t>Tradovate, NinjaTrader, Quantower, ATAS, WealthCharts, DeepChart, Volumetrica, DeepCharts</t>
        </is>
      </c>
      <c r="D19" s="18" t="inlineStr">
        <is>
          <t>Ancienne page seulement. La nouvelle lit l'onglet Plateformes.</t>
        </is>
      </c>
    </row>
    <row r="20" ht="44" customHeight="1">
      <c r="A20" s="15" t="inlineStr">
        <is>
          <t>moyens_paiement</t>
        </is>
      </c>
      <c r="B20" s="16" t="n"/>
      <c r="C20" s="17" t="inlineStr">
        <is>
          <t>Credit/Debit Card, Crypto</t>
        </is>
      </c>
      <c r="D20" s="18" t="inlineStr">
        <is>
          <t>« Purchase methods » : moyens de paiement A L'ACHAT, separes par des virgules.</t>
        </is>
      </c>
    </row>
    <row r="21" ht="44" customHeight="1">
      <c r="A21" s="15" t="inlineStr">
        <is>
          <t>methodes_retrait</t>
        </is>
      </c>
      <c r="B21" s="16" t="inlineStr">
        <is>
          <t>Rise, Crypto, Bank transfer, Hub Credits</t>
        </is>
      </c>
      <c r="C21" s="17" t="inlineStr">
        <is>
          <t>Crypto, Riseworks</t>
        </is>
      </c>
      <c r="D21" s="18" t="inlineStr">
        <is>
          <t>Carte PAYOUTS : methodes de RETRAIT, separees par des virgules.</t>
        </is>
      </c>
    </row>
    <row r="22" ht="44" customHeight="1">
      <c r="A22" s="15" t="inlineStr">
        <is>
          <t>prestataire_retrait</t>
        </is>
      </c>
      <c r="B22" s="16" t="inlineStr">
        <is>
          <t>Rise</t>
        </is>
      </c>
      <c r="C22" s="17" t="inlineStr">
        <is>
          <t>Rise</t>
        </is>
      </c>
      <c r="D22" s="18" t="inlineStr">
        <is>
          <t>Carte PAYOUTS : le prestataire qui paie les retraits.</t>
        </is>
      </c>
    </row>
    <row r="23" ht="44" customHeight="1">
      <c r="A23" s="15" t="inlineStr">
        <is>
          <t>levier</t>
        </is>
      </c>
      <c r="B23" s="16" t="n"/>
      <c r="C23" s="17" t="inlineStr">
        <is>
          <t>N/A (futures contracts)</t>
        </is>
      </c>
      <c r="D23" s="18" t="inlineStr">
        <is>
          <t>« Trading profile » : « Leverage 1:X ». Vide : « Leverage — ».</t>
        </is>
      </c>
    </row>
    <row r="24" ht="44" customHeight="1">
      <c r="A24" s="15" t="inlineStr">
        <is>
          <t>levier_statut</t>
        </is>
      </c>
      <c r="B24" s="16" t="n"/>
      <c r="C24" s="17" t="inlineStr">
        <is>
          <t>not_applicable</t>
        </is>
      </c>
      <c r="D24" s="18" t="inlineStr">
        <is>
          <t>Nouvelle page : confirmed si levier est rempli. Ou un statut : not_published (la firme ne le publie pas), not_applicable, needs_confirmation, source_conflict. Vide : la ligne disparait.</t>
        </is>
      </c>
    </row>
    <row r="25" ht="44" customHeight="1">
      <c r="A25" s="15" t="inlineStr">
        <is>
          <t>styles_trading</t>
        </is>
      </c>
      <c r="B25" s="16" t="inlineStr">
        <is>
          <t>Day trading, Swing</t>
        </is>
      </c>
      <c r="C25" s="17" t="inlineStr">
        <is>
          <t>(vide — absent du releve)</t>
        </is>
      </c>
      <c r="D25" s="18" t="inlineStr">
        <is>
          <t>« Trading profile » : styles autorises (Swing…), separes par des virgules.</t>
        </is>
      </c>
    </row>
    <row r="26">
      <c r="A26" s="15" t="inlineStr">
        <is>
          <t>meta_description</t>
        </is>
      </c>
      <c r="B26" s="16" t="n"/>
      <c r="C26" s="17" t="n"/>
      <c r="D26" s="18" t="inlineStr">
        <is>
          <t>Meta description de la page (Google). Vide : calculee depuis la presentation. 160 caracteres au plus.</t>
        </is>
      </c>
    </row>
    <row r="27">
      <c r="A27" s="15" t="inlineStr">
        <is>
          <t>flux_donnees</t>
        </is>
      </c>
      <c r="B27" s="16" t="n"/>
      <c r="C27" s="17" t="n"/>
      <c r="D27" s="18" t="inlineStr">
        <is>
          <t>Carte « Data feeds » : flux de donnees proposes, separes par des virgules. Affichage seulement.</t>
        </is>
      </c>
    </row>
  </sheetData>
  <dataValidations count="2">
    <dataValidation sqref="B18" showDropDown="0" showInputMessage="0" showErrorMessage="1" allowBlank="1" errorTitle="Valeur hors liste" error="Choisis une valeur dans la liste deroulante." type="list">
      <formula1>=Listes!$A$2:$A$6</formula1>
    </dataValidation>
    <dataValidation sqref="B24" showDropDown="0" showInputMessage="0" showErrorMessage="1" allowBlank="1" errorTitle="Valeur hors liste" error="Choisis une valeur dans la liste deroulante." type="list">
      <formula1>=Listes!$A$2:$A$6</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1F2937"/>
    <outlinePr summaryBelow="1" summaryRight="1"/>
    <pageSetUpPr/>
  </sheetPr>
  <dimension ref="A1:C10"/>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70" customWidth="1" min="3" max="3"/>
  </cols>
  <sheetData>
    <row r="1" ht="30" customHeight="1">
      <c r="A1" s="14" t="inlineStr">
        <is>
          <t>ordre</t>
        </is>
      </c>
      <c r="B1" s="14" t="inlineStr">
        <is>
          <t>titre</t>
        </is>
      </c>
      <c r="C1" s="14" t="inlineStr">
        <is>
          <t>detail</t>
        </is>
      </c>
    </row>
    <row r="2" ht="58" customHeight="1">
      <c r="A2" s="25" t="inlineStr">
        <is>
          <t>1 a 4. Quatre faits au plus : au-dela, ils sont ignores.</t>
        </is>
      </c>
      <c r="B2" s="25" t="inlineStr">
        <is>
          <t>Le fait, en quelques mots. Vrai pour toute la firme, pas pour un seul programme.</t>
        </is>
      </c>
      <c r="C2" s="25" t="inlineStr">
        <is>
          <t>La precision sous le fait.</t>
        </is>
      </c>
    </row>
    <row r="3">
      <c r="A3" s="24" t="n">
        <v>1</v>
      </c>
      <c r="B3" s="17" t="inlineStr">
        <is>
          <t>Ten years in business</t>
        </is>
      </c>
      <c r="C3" s="17" t="inlineStr">
        <is>
          <t>Founded in 2016, 262,000 traders onboarded.</t>
        </is>
      </c>
    </row>
    <row r="4">
      <c r="A4" s="24" t="n">
        <v>2</v>
      </c>
      <c r="B4" s="17" t="inlineStr">
        <is>
          <t>Fee refunded on High Stakes</t>
        </is>
      </c>
      <c r="C4" s="17" t="inlineStr">
        <is>
          <t>10% after step 1, 20% after step 2, 70% in cash with your first payout.</t>
        </is>
      </c>
    </row>
    <row r="5">
      <c r="A5" s="23" t="n">
        <v>3</v>
      </c>
      <c r="B5" s="16" t="inlineStr">
        <is>
          <t>Payouts every 14 days</t>
        </is>
      </c>
      <c r="C5" s="16" t="inlineStr">
        <is>
          <t>From $150 of profit, paid through Rise, crypto or bank transfer.</t>
        </is>
      </c>
    </row>
    <row r="6">
      <c r="A6" s="23" t="n">
        <v>4</v>
      </c>
      <c r="B6" s="16" t="inlineStr">
        <is>
          <t>Scaling to $4,000,000</t>
        </is>
      </c>
      <c r="C6" s="16" t="inlineStr">
        <is>
          <t>Hyper Growth doubles the account at every 10% target.</t>
        </is>
      </c>
    </row>
    <row r="7">
      <c r="A7" s="23" t="n"/>
      <c r="B7" s="16" t="n"/>
      <c r="C7" s="16" t="n"/>
    </row>
    <row r="8">
      <c r="A8" s="23" t="n"/>
      <c r="B8" s="16" t="n"/>
      <c r="C8" s="16" t="n"/>
    </row>
    <row r="9">
      <c r="A9" s="23" t="n"/>
      <c r="B9" s="16" t="n"/>
      <c r="C9" s="16" t="n"/>
    </row>
    <row r="10">
      <c r="A10" s="23" t="n"/>
      <c r="B10" s="16" t="n"/>
      <c r="C10" s="16"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1F2937"/>
    <outlinePr summaryBelow="1" summaryRight="1"/>
    <pageSetUpPr/>
  </sheetPr>
  <dimension ref="A1:D10"/>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16" customWidth="1" min="3" max="3"/>
    <col width="60" customWidth="1" min="4" max="4"/>
  </cols>
  <sheetData>
    <row r="1" ht="30" customHeight="1">
      <c r="A1" s="14" t="inlineStr">
        <is>
          <t>ordre</t>
        </is>
      </c>
      <c r="B1" s="14" t="inlineStr">
        <is>
          <t>libelle</t>
        </is>
      </c>
      <c r="C1" s="14" t="inlineStr">
        <is>
          <t>valeur</t>
        </is>
      </c>
      <c r="D1" s="14" t="inlineStr">
        <is>
          <t>source_url</t>
        </is>
      </c>
    </row>
    <row r="2" ht="58" customHeight="1">
      <c r="A2" s="25" t="inlineStr">
        <is>
          <t>Ordre d'affichage.</t>
        </is>
      </c>
      <c r="B2" s="25" t="inlineStr">
        <is>
          <t>Ce que mesure le chiffre : « reviews », « traders funded in 2025 ».</t>
        </is>
      </c>
      <c r="C2" s="25" t="inlineStr">
        <is>
          <t>Le chiffre, tel qu'il s'affiche : « 4,900 ».</t>
        </is>
      </c>
      <c r="D2" s="25" t="inlineStr">
        <is>
          <t>Ou le chiffre a ete lu. Non affiche.</t>
        </is>
      </c>
    </row>
    <row r="3">
      <c r="A3" s="23" t="n"/>
      <c r="B3" s="16" t="n"/>
      <c r="C3" s="16" t="n"/>
      <c r="D3" s="16" t="n"/>
    </row>
    <row r="4">
      <c r="A4" s="23" t="n"/>
      <c r="B4" s="16" t="n"/>
      <c r="C4" s="16" t="n"/>
      <c r="D4" s="16" t="n"/>
    </row>
    <row r="5">
      <c r="A5" s="23" t="n"/>
      <c r="B5" s="16" t="n"/>
      <c r="C5" s="16" t="n"/>
      <c r="D5" s="16" t="n"/>
    </row>
    <row r="6">
      <c r="A6" s="23" t="n"/>
      <c r="B6" s="16" t="n"/>
      <c r="C6" s="16" t="n"/>
      <c r="D6" s="16" t="n"/>
    </row>
    <row r="7">
      <c r="A7" s="23" t="n"/>
      <c r="B7" s="16" t="n"/>
      <c r="C7" s="16" t="n"/>
      <c r="D7" s="16" t="n"/>
    </row>
    <row r="8">
      <c r="A8" s="23" t="n"/>
      <c r="B8" s="16" t="n"/>
      <c r="C8" s="16" t="n"/>
      <c r="D8" s="16" t="n"/>
    </row>
    <row r="9">
      <c r="A9" s="23" t="n"/>
      <c r="B9" s="16" t="n"/>
      <c r="C9" s="16" t="n"/>
      <c r="D9" s="16" t="n"/>
    </row>
    <row r="10">
      <c r="A10" s="23" t="n"/>
      <c r="B10" s="16" t="n"/>
      <c r="C10" s="16" t="n"/>
      <c r="D10" s="16"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1F2937"/>
    <outlinePr summaryBelow="1" summaryRight="1"/>
    <pageSetUpPr/>
  </sheetPr>
  <dimension ref="A1:D2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70" customWidth="1" min="3" max="3"/>
    <col width="40" customWidth="1" min="4" max="4"/>
  </cols>
  <sheetData>
    <row r="1" ht="30" customHeight="1">
      <c r="A1" s="14" t="inlineStr">
        <is>
          <t>nom</t>
        </is>
      </c>
      <c r="B1" s="14" t="inlineStr">
        <is>
          <t>selectionnable</t>
        </is>
      </c>
      <c r="C1" s="14" t="inlineStr">
        <is>
          <t>note</t>
        </is>
      </c>
      <c r="D1" s="14" t="inlineStr">
        <is>
          <t>logo_url</t>
        </is>
      </c>
    </row>
    <row r="2" ht="58" customHeight="1">
      <c r="A2" s="25" t="inlineStr">
        <is>
          <t>Le nom officiel, ecrit une seule fois (pas deux orthographes).</t>
        </is>
      </c>
      <c r="B2" s="25" t="inlineStr">
        <is>
          <t>oui : choisie a l'achat, affichee. non : citee ailleurs par la firme, non affichee.</t>
        </is>
      </c>
      <c r="C2" s="25" t="inlineStr">
        <is>
          <t>Pourquoi, d'ou vient le nom. Non affiche.</t>
        </is>
      </c>
      <c r="D2" s="25" t="inlineStr">
        <is>
          <t>Icone officielle, prise sur le site de l'editeur (https). Vide : pastille a l'initiale.</t>
        </is>
      </c>
    </row>
    <row r="3">
      <c r="A3" s="17" t="inlineStr">
        <is>
          <t>MetaTrader 5</t>
        </is>
      </c>
      <c r="B3" s="17" t="inlineStr">
        <is>
          <t>oui</t>
        </is>
      </c>
      <c r="C3" s="17" t="inlineStr">
        <is>
          <t>CFD, hors Etats-Unis.</t>
        </is>
      </c>
      <c r="D3" t="inlineStr">
        <is>
          <t>https://www.metatrader5.com/i/favicons/apple-touch-icon-180x180.png</t>
        </is>
      </c>
    </row>
    <row r="4">
      <c r="A4" s="17" t="inlineStr">
        <is>
          <t>cTrader</t>
        </is>
      </c>
      <c r="B4" s="17" t="inlineStr">
        <is>
          <t>oui</t>
        </is>
      </c>
      <c r="C4" s="17" t="inlineStr">
        <is>
          <t>CFD, hors Etats-Unis, +10 $.</t>
        </is>
      </c>
      <c r="D4" t="inlineStr">
        <is>
          <t>https://ctrader.com/favicon.ico</t>
        </is>
      </c>
    </row>
    <row r="5">
      <c r="A5" s="16" t="inlineStr">
        <is>
          <t>TradingView</t>
        </is>
      </c>
      <c r="B5" s="16" t="inlineStr">
        <is>
          <t>oui</t>
        </is>
      </c>
      <c r="C5" s="16" t="inlineStr">
        <is>
          <t>CFD, seule plateforme proposee aux clients americains.</t>
        </is>
      </c>
      <c r="D5" t="inlineStr">
        <is>
          <t>https://static.tradingview.com/static/images/favicon/apple-touch-icon-180x180.png</t>
        </is>
      </c>
    </row>
    <row r="6">
      <c r="A6" s="16" t="inlineStr">
        <is>
          <t>BlackArrow</t>
        </is>
      </c>
      <c r="B6" s="16" t="inlineStr">
        <is>
          <t>oui</t>
        </is>
      </c>
      <c r="C6" s="16" t="inlineStr">
        <is>
          <t>Seule plateforme des comptes futures.</t>
        </is>
      </c>
    </row>
    <row r="7">
      <c r="A7" s="16" t="n"/>
      <c r="B7" s="16" t="n"/>
      <c r="C7" s="16" t="n"/>
    </row>
    <row r="8">
      <c r="A8" s="16" t="n"/>
      <c r="B8" s="16" t="n"/>
      <c r="C8" s="16" t="n"/>
    </row>
    <row r="9">
      <c r="A9" s="16" t="n"/>
      <c r="B9" s="16" t="n"/>
      <c r="C9" s="16" t="n"/>
    </row>
    <row r="10">
      <c r="A10" s="16" t="n"/>
      <c r="B10" s="16" t="n"/>
      <c r="C10" s="16" t="n"/>
    </row>
    <row r="11">
      <c r="A11" s="16" t="n"/>
      <c r="B11" s="16" t="n"/>
      <c r="C11" s="16" t="n"/>
    </row>
    <row r="12">
      <c r="A12" s="16" t="n"/>
      <c r="B12" s="16" t="n"/>
      <c r="C12" s="16" t="n"/>
    </row>
    <row r="13">
      <c r="A13" s="16" t="n"/>
      <c r="B13" s="16" t="n"/>
      <c r="C13" s="16" t="n"/>
    </row>
    <row r="14">
      <c r="A14" s="16" t="n"/>
      <c r="B14" s="16" t="n"/>
      <c r="C14" s="16" t="n"/>
    </row>
    <row r="15">
      <c r="A15" s="16" t="n"/>
      <c r="B15" s="16" t="n"/>
      <c r="C15" s="16" t="n"/>
    </row>
    <row r="16">
      <c r="A16" s="16" t="n"/>
      <c r="B16" s="16" t="n"/>
      <c r="C16" s="16" t="n"/>
    </row>
    <row r="17">
      <c r="A17" s="16" t="n"/>
      <c r="B17" s="16" t="n"/>
      <c r="C17" s="16" t="n"/>
    </row>
    <row r="18">
      <c r="A18" s="16" t="n"/>
      <c r="B18" s="16" t="n"/>
      <c r="C18" s="16" t="n"/>
    </row>
    <row r="19">
      <c r="A19" s="16" t="n"/>
      <c r="B19" s="16" t="n"/>
      <c r="C19" s="16" t="n"/>
    </row>
    <row r="20">
      <c r="A20" s="16" t="n"/>
      <c r="B20" s="16" t="n"/>
      <c r="C20" s="16" t="n"/>
    </row>
    <row r="21">
      <c r="A21" s="16" t="n"/>
      <c r="B21" s="16" t="n"/>
      <c r="C21" s="16" t="n"/>
    </row>
    <row r="22">
      <c r="A22" s="16" t="n"/>
      <c r="B22" s="16" t="n"/>
      <c r="C22" s="16" t="n"/>
    </row>
    <row r="23">
      <c r="A23" s="16" t="n"/>
      <c r="B23" s="16" t="n"/>
      <c r="C23" s="16" t="n"/>
    </row>
    <row r="24">
      <c r="A24" s="16" t="n"/>
      <c r="B24" s="16" t="n"/>
      <c r="C24" s="16" t="n"/>
    </row>
  </sheetData>
  <dataValidations count="1">
    <dataValidation sqref="B3:B24" showDropDown="0" showInputMessage="0" showErrorMessage="1" allowBlank="1" errorTitle="Valeur hors liste" error="Choisis une valeur dans la liste deroulante." type="list">
      <formula1>=Listes!$N$2:$N$3</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374151"/>
    <outlinePr summaryBelow="1" summaryRight="1"/>
    <pageSetUpPr/>
  </sheetPr>
  <dimension ref="A1:M23"/>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12" customWidth="1" min="3" max="3"/>
    <col width="13" customWidth="1" min="4" max="4"/>
    <col width="12" customWidth="1" min="5" max="5"/>
    <col width="32" customWidth="1" min="6" max="6"/>
    <col width="50" customWidth="1" min="7" max="7"/>
    <col width="12" customWidth="1" min="8" max="8"/>
    <col width="16" customWidth="1" min="9" max="9"/>
    <col width="50" customWidth="1" min="10" max="10"/>
    <col width="11" customWidth="1" min="11" max="11"/>
  </cols>
  <sheetData>
    <row r="1" ht="30" customHeight="1">
      <c r="A1" s="14" t="inlineStr">
        <is>
          <t>slug</t>
        </is>
      </c>
      <c r="B1" s="14" t="inlineStr">
        <is>
          <t>nom</t>
        </is>
      </c>
      <c r="C1" s="14" t="inlineStr">
        <is>
          <t>marche</t>
        </is>
      </c>
      <c r="D1" s="14" t="inlineStr">
        <is>
          <t>type</t>
        </is>
      </c>
      <c r="E1" s="14" t="inlineStr">
        <is>
          <t>statut</t>
        </is>
      </c>
      <c r="F1" s="14" t="inlineStr">
        <is>
          <t>accroche</t>
        </is>
      </c>
      <c r="G1" s="14" t="inlineStr">
        <is>
          <t>resume</t>
        </is>
      </c>
      <c r="H1" s="14" t="inlineStr">
        <is>
          <t>max_comptes</t>
        </is>
      </c>
      <c r="I1" s="14" t="inlineStr">
        <is>
          <t>max_comptes_statut</t>
        </is>
      </c>
      <c r="J1" s="14" t="inlineStr">
        <is>
          <t>max_comptes_note</t>
        </is>
      </c>
      <c r="K1" s="14" t="inlineStr">
        <is>
          <t>nb_plans  (auto)</t>
        </is>
      </c>
      <c r="L1" s="14" t="inlineStr">
        <is>
          <t>offre_fin</t>
        </is>
      </c>
      <c r="M1" s="14" t="inlineStr">
        <is>
          <t>offre_fin_statut</t>
        </is>
      </c>
    </row>
    <row r="2" ht="58" customHeight="1">
      <c r="A2" s="25" t="inlineStr">
        <is>
          <t>Identifiant court, minuscules. Relie les plans et les phases.</t>
        </is>
      </c>
      <c r="B2" s="25" t="inlineStr">
        <is>
          <t>Carte « How do you want to be funded? ».</t>
        </is>
      </c>
      <c r="C2" s="25" t="inlineStr">
        <is>
          <t>Carte « Choose your market ». Masquee s'il n'y en a qu'un.</t>
        </is>
      </c>
      <c r="D2" s="25" t="inlineStr">
        <is>
          <t>instant = aucune evaluation : l'onglet Evaluation disparait.</t>
        </is>
      </c>
      <c r="E2" s="25" t="inlineStr">
        <is>
          <t>Seuls les « active » s'affichent.</t>
        </is>
      </c>
      <c r="F2" s="25" t="inlineStr">
        <is>
          <t>Petite phrase au-dessus du nom dans « How do you want to be funded? ». Vide : le type (Evaluation / No evaluation).</t>
        </is>
      </c>
      <c r="G2" s="25" t="inlineStr">
        <is>
          <t>Carte « Which program fits you? » : une phrase vraie de CE programme. Vide : la carte n'affiche que le nom.</t>
        </is>
      </c>
      <c r="H2" s="25" t="inlineStr">
        <is>
          <t>Comptes finances actifs au plus, pour CE programme.</t>
        </is>
      </c>
      <c r="I2" s="25" t="inlineStr">
        <is>
          <t>confirmed, ou un statut si le chiffre manque ou se contredit.</t>
        </is>
      </c>
      <c r="J2" s="25" t="inlineStr">
        <is>
          <t>La source, ou la contradiction. Affichee sous le chiffre.</t>
        </is>
      </c>
      <c r="K2" s="25" t="inlineStr">
        <is>
          <t>Plans rattaches.</t>
        </is>
      </c>
      <c r="L2" s="25" t="inlineStr">
        <is>
          <t>Campagne a duree limitee : sa date de fin. Vide si le programme est permanent.</t>
        </is>
      </c>
      <c r="M2" s="25" t="inlineStr">
        <is>
          <t>confirmed si la date est publiee. Sinon not_published, needs_confirmation ou source_conflict.</t>
        </is>
      </c>
    </row>
    <row r="3">
      <c r="A3" s="17" t="inlineStr">
        <is>
          <t>high-stakes</t>
        </is>
      </c>
      <c r="B3" s="17" t="inlineStr">
        <is>
          <t>High Stakes</t>
        </is>
      </c>
      <c r="C3" s="17" t="inlineStr">
        <is>
          <t>cfd</t>
        </is>
      </c>
      <c r="D3" s="17" t="inlineStr">
        <is>
          <t>evaluation</t>
        </is>
      </c>
      <c r="E3" s="17" t="inlineStr">
        <is>
          <t>active</t>
        </is>
      </c>
      <c r="F3" s="17" t="inlineStr">
        <is>
          <t>The two-step route, fee refunded</t>
        </is>
      </c>
      <c r="G3" s="17" t="inlineStr">
        <is>
          <t>Challenge then Verification, a static loss limit and no deadline. The fee comes back in stages: 10% in Hub Credits after step 1, 20% after step 2, 70% in cash with your first payout. NEW asks 10% in step 1, Classic asks 8%.</t>
        </is>
      </c>
      <c r="H3" s="24" t="n">
        <v>4</v>
      </c>
      <c r="I3" s="17" t="inlineStr">
        <is>
          <t>confirmed</t>
        </is>
      </c>
      <c r="J3" s="17" t="inlineStr">
        <is>
          <t>Classic: one account per size. NEW: up to three on the small sizes.</t>
        </is>
      </c>
      <c r="K3" s="26">
        <f>IF(A3="","",COUNTIF(Plans!$A$3:$A$300,A3))</f>
        <v/>
      </c>
    </row>
    <row r="4">
      <c r="A4" s="16" t="inlineStr">
        <is>
          <t>pro-growth</t>
        </is>
      </c>
      <c r="B4" s="16" t="inlineStr">
        <is>
          <t>Pro Growth</t>
        </is>
      </c>
      <c r="C4" s="16" t="inlineStr">
        <is>
          <t>cfd</t>
        </is>
      </c>
      <c r="D4" s="16" t="inlineStr">
        <is>
          <t>evaluation</t>
        </is>
      </c>
      <c r="E4" s="16" t="inlineStr">
        <is>
          <t>active</t>
        </is>
      </c>
      <c r="F4" s="16" t="inlineStr">
        <is>
          <t>One phase, static drawdown</t>
        </is>
      </c>
      <c r="G4" s="16" t="inlineStr">
        <is>
          <t>A single evaluation phase: 10% target, a 6% static loss limit, a 3% daily loss and three profitable days worth at least 0.5% each.</t>
        </is>
      </c>
      <c r="H4" s="23" t="n">
        <v>4</v>
      </c>
      <c r="I4" s="16" t="inlineStr">
        <is>
          <t>source_conflict</t>
        </is>
      </c>
      <c r="J4" s="16" t="inlineStr">
        <is>
          <t>Two official articles disagree: three accounts on one page, four on another.</t>
        </is>
      </c>
      <c r="K4" s="26">
        <f>IF(A4="","",COUNTIF(Plans!$A$3:$A$300,A4))</f>
        <v/>
      </c>
    </row>
    <row r="5">
      <c r="A5" s="16" t="inlineStr">
        <is>
          <t>hyper-growth</t>
        </is>
      </c>
      <c r="B5" s="16" t="inlineStr">
        <is>
          <t>Hyper Growth</t>
        </is>
      </c>
      <c r="C5" s="16" t="inlineStr">
        <is>
          <t>cfd</t>
        </is>
      </c>
      <c r="D5" s="16" t="inlineStr">
        <is>
          <t>instant</t>
        </is>
      </c>
      <c r="E5" s="16" t="inlineStr">
        <is>
          <t>active</t>
        </is>
      </c>
      <c r="F5" s="16" t="inlineStr">
        <is>
          <t>Funded from purchase</t>
        </is>
      </c>
      <c r="G5" s="16" t="inlineStr">
        <is>
          <t>No evaluation at all. Hitting the daily limit pauses the account until midnight instead of closing it, and the balance doubles at every 10% target, up to $4,000,000.</t>
        </is>
      </c>
      <c r="H5" s="23" t="n">
        <v>4</v>
      </c>
      <c r="I5" s="16" t="inlineStr">
        <is>
          <t>confirmed</t>
        </is>
      </c>
      <c r="J5" s="16" t="inlineStr">
        <is>
          <t>Up to $40,000 of evaluation capital at a time.</t>
        </is>
      </c>
      <c r="K5" s="26">
        <f>IF(A5="","",COUNTIF(Plans!$A$3:$A$300,A5))</f>
        <v/>
      </c>
    </row>
    <row r="6">
      <c r="A6" s="16" t="inlineStr">
        <is>
          <t>bootcamp</t>
        </is>
      </c>
      <c r="B6" s="16" t="inlineStr">
        <is>
          <t>Bootcamp</t>
        </is>
      </c>
      <c r="C6" s="16" t="inlineStr">
        <is>
          <t>cfd</t>
        </is>
      </c>
      <c r="D6" s="16" t="inlineStr">
        <is>
          <t>evaluation</t>
        </is>
      </c>
      <c r="E6" s="16" t="inlineStr">
        <is>
          <t>active</t>
        </is>
      </c>
      <c r="F6" s="16" t="inlineStr">
        <is>
          <t>Three steps, growing balances</t>
        </is>
      </c>
      <c r="G6" s="16" t="inlineStr">
        <is>
          <t>The balance grows at each step instead of staying flat, with a 6% target every time and no daily loss until you are funded. A stop-loss is mandatory within three minutes of entry, risking at most 2%.</t>
        </is>
      </c>
      <c r="H6" s="23" t="n">
        <v>4</v>
      </c>
      <c r="I6" s="16" t="inlineStr">
        <is>
          <t>confirmed</t>
        </is>
      </c>
      <c r="J6" s="16" t="inlineStr">
        <is>
          <t>One $250K, one $100K and two $20K at a time.</t>
        </is>
      </c>
      <c r="K6" s="26">
        <f>IF(A6="","",COUNTIF(Plans!$A$3:$A$300,A6))</f>
        <v/>
      </c>
    </row>
    <row r="7">
      <c r="A7" s="16" t="inlineStr">
        <is>
          <t>summer-plan</t>
        </is>
      </c>
      <c r="B7" s="16" t="inlineStr">
        <is>
          <t>Summer Plan</t>
        </is>
      </c>
      <c r="C7" s="16" t="inlineStr">
        <is>
          <t>cfd</t>
        </is>
      </c>
      <c r="D7" s="16" t="inlineStr">
        <is>
          <t>evaluation</t>
        </is>
      </c>
      <c r="E7" s="16" t="inlineStr">
        <is>
          <t>limited_offer</t>
        </is>
      </c>
      <c r="F7" s="16" t="inlineStr">
        <is>
          <t>Campaign pricing, one or two steps</t>
        </is>
      </c>
      <c r="G7" s="16" t="inlineStr">
        <is>
          <t>The campaign catalogue: a one-step $100K and four two-step combinations on $100K and $200K, with a 50% daily consistency rule on the funded account and a payout cap the permanent programs do not have.</t>
        </is>
      </c>
      <c r="H7" s="23" t="n">
        <v>2</v>
      </c>
      <c r="I7" s="16" t="inlineStr">
        <is>
          <t>confirmed</t>
        </is>
      </c>
      <c r="J7" s="16" t="inlineStr">
        <is>
          <t>Two accounts on the $100K, one on the $200K.</t>
        </is>
      </c>
      <c r="K7" s="26">
        <f>IF(A7="","",COUNTIF(Plans!$A$3:$A$300,A7))</f>
        <v/>
      </c>
      <c r="M7" t="inlineStr">
        <is>
          <t>not_published</t>
        </is>
      </c>
    </row>
    <row r="8">
      <c r="A8" s="16" t="inlineStr">
        <is>
          <t>futures</t>
        </is>
      </c>
      <c r="B8" s="16" t="inlineStr">
        <is>
          <t>Futures</t>
        </is>
      </c>
      <c r="C8" s="16" t="inlineStr">
        <is>
          <t>futures</t>
        </is>
      </c>
      <c r="D8" s="16" t="inlineStr">
        <is>
          <t>evaluation</t>
        </is>
      </c>
      <c r="E8" s="16" t="inlineStr">
        <is>
          <t>active</t>
        </is>
      </c>
      <c r="F8" s="16" t="inlineStr">
        <is>
          <t>CME contracts on BlackArrow</t>
        </is>
      </c>
      <c r="G8" s="16" t="inlineStr">
        <is>
          <t>A 6% target with a 4% end-of-day trailing drawdown, no minimum days, and a consistency rule of 40% per position. Day Trade closes everything before the session ends; Swing keeps one mini overnight.</t>
        </is>
      </c>
      <c r="H8" s="23" t="n">
        <v>5</v>
      </c>
      <c r="I8" s="16" t="inlineStr">
        <is>
          <t>confirmed</t>
        </is>
      </c>
      <c r="J8" s="16" t="inlineStr">
        <is>
          <t>Up to $500,000 across accounts: one $150K, two $100K, five small ones.</t>
        </is>
      </c>
      <c r="K8" s="26">
        <f>IF(A8="","",COUNTIF(Plans!$A$3:$A$300,A8))</f>
        <v/>
      </c>
    </row>
    <row r="9">
      <c r="A9" s="16" t="n"/>
      <c r="B9" s="16" t="n"/>
      <c r="C9" s="16" t="n"/>
      <c r="D9" s="16" t="n"/>
      <c r="E9" s="16" t="n"/>
      <c r="F9" s="16" t="n"/>
      <c r="G9" s="16" t="n"/>
      <c r="H9" s="23" t="n"/>
      <c r="I9" s="16" t="n"/>
      <c r="J9" s="16" t="n"/>
      <c r="K9" s="26">
        <f>IF(A9="","",COUNTIF(Plans!$A$3:$A$300,A9))</f>
        <v/>
      </c>
    </row>
    <row r="10">
      <c r="A10" s="16" t="n"/>
      <c r="B10" s="16" t="n"/>
      <c r="C10" s="16" t="n"/>
      <c r="D10" s="16" t="n"/>
      <c r="E10" s="16" t="n"/>
      <c r="F10" s="16" t="n"/>
      <c r="G10" s="16" t="n"/>
      <c r="H10" s="23" t="n"/>
      <c r="I10" s="16" t="n"/>
      <c r="J10" s="16" t="n"/>
      <c r="K10" s="26">
        <f>IF(A10="","",COUNTIF(Plans!$A$3:$A$300,A10))</f>
        <v/>
      </c>
    </row>
    <row r="11">
      <c r="A11" s="16" t="n"/>
      <c r="B11" s="16" t="n"/>
      <c r="C11" s="16" t="n"/>
      <c r="D11" s="16" t="n"/>
      <c r="E11" s="16" t="n"/>
      <c r="F11" s="16" t="n"/>
      <c r="G11" s="16" t="n"/>
      <c r="H11" s="23" t="n"/>
      <c r="I11" s="16" t="n"/>
      <c r="J11" s="16" t="n"/>
      <c r="K11" s="26">
        <f>IF(A11="","",COUNTIF(Plans!$A$3:$A$300,A11))</f>
        <v/>
      </c>
    </row>
    <row r="12">
      <c r="A12" s="16" t="n"/>
      <c r="B12" s="16" t="n"/>
      <c r="C12" s="16" t="n"/>
      <c r="D12" s="16" t="n"/>
      <c r="E12" s="16" t="n"/>
      <c r="F12" s="16" t="n"/>
      <c r="G12" s="16" t="n"/>
      <c r="H12" s="23" t="n"/>
      <c r="I12" s="16" t="n"/>
      <c r="J12" s="16" t="n"/>
      <c r="K12" s="26">
        <f>IF(A12="","",COUNTIF(Plans!$A$3:$A$300,A12))</f>
        <v/>
      </c>
    </row>
    <row r="13">
      <c r="A13" s="16" t="n"/>
      <c r="B13" s="16" t="n"/>
      <c r="C13" s="16" t="n"/>
      <c r="D13" s="16" t="n"/>
      <c r="E13" s="16" t="n"/>
      <c r="F13" s="16" t="n"/>
      <c r="G13" s="16" t="n"/>
      <c r="H13" s="23" t="n"/>
      <c r="I13" s="16" t="n"/>
      <c r="J13" s="16" t="n"/>
      <c r="K13" s="26">
        <f>IF(A13="","",COUNTIF(Plans!$A$3:$A$300,A13))</f>
        <v/>
      </c>
    </row>
    <row r="14">
      <c r="A14" s="16" t="n"/>
      <c r="B14" s="16" t="n"/>
      <c r="C14" s="16" t="n"/>
      <c r="D14" s="16" t="n"/>
      <c r="E14" s="16" t="n"/>
      <c r="F14" s="16" t="n"/>
      <c r="G14" s="16" t="n"/>
      <c r="H14" s="23" t="n"/>
      <c r="I14" s="16" t="n"/>
      <c r="J14" s="16" t="n"/>
      <c r="K14" s="26">
        <f>IF(A14="","",COUNTIF(Plans!$A$3:$A$300,A14))</f>
        <v/>
      </c>
    </row>
    <row r="15">
      <c r="A15" s="16" t="n"/>
      <c r="B15" s="16" t="n"/>
      <c r="C15" s="16" t="n"/>
      <c r="D15" s="16" t="n"/>
      <c r="E15" s="16" t="n"/>
      <c r="F15" s="16" t="n"/>
      <c r="G15" s="16" t="n"/>
      <c r="H15" s="23" t="n"/>
      <c r="I15" s="16" t="n"/>
      <c r="J15" s="16" t="n"/>
      <c r="K15" s="26">
        <f>IF(A15="","",COUNTIF(Plans!$A$3:$A$300,A15))</f>
        <v/>
      </c>
    </row>
    <row r="16">
      <c r="A16" s="16" t="n"/>
      <c r="B16" s="16" t="n"/>
      <c r="C16" s="16" t="n"/>
      <c r="D16" s="16" t="n"/>
      <c r="E16" s="16" t="n"/>
      <c r="F16" s="16" t="n"/>
      <c r="G16" s="16" t="n"/>
      <c r="H16" s="23" t="n"/>
      <c r="I16" s="16" t="n"/>
      <c r="J16" s="16" t="n"/>
      <c r="K16" s="26">
        <f>IF(A16="","",COUNTIF(Plans!$A$3:$A$300,A16))</f>
        <v/>
      </c>
    </row>
    <row r="17">
      <c r="A17" s="16" t="n"/>
      <c r="B17" s="16" t="n"/>
      <c r="C17" s="16" t="n"/>
      <c r="D17" s="16" t="n"/>
      <c r="E17" s="16" t="n"/>
      <c r="F17" s="16" t="n"/>
      <c r="G17" s="16" t="n"/>
      <c r="H17" s="23" t="n"/>
      <c r="I17" s="16" t="n"/>
      <c r="J17" s="16" t="n"/>
      <c r="K17" s="26">
        <f>IF(A17="","",COUNTIF(Plans!$A$3:$A$300,A17))</f>
        <v/>
      </c>
    </row>
    <row r="18">
      <c r="A18" s="16" t="n"/>
      <c r="B18" s="16" t="n"/>
      <c r="C18" s="16" t="n"/>
      <c r="D18" s="16" t="n"/>
      <c r="E18" s="16" t="n"/>
      <c r="F18" s="16" t="n"/>
      <c r="G18" s="16" t="n"/>
      <c r="H18" s="23" t="n"/>
      <c r="I18" s="16" t="n"/>
      <c r="J18" s="16" t="n"/>
      <c r="K18" s="26">
        <f>IF(A18="","",COUNTIF(Plans!$A$3:$A$300,A18))</f>
        <v/>
      </c>
    </row>
    <row r="19">
      <c r="A19" s="16" t="n"/>
      <c r="B19" s="16" t="n"/>
      <c r="C19" s="16" t="n"/>
      <c r="D19" s="16" t="n"/>
      <c r="E19" s="16" t="n"/>
      <c r="F19" s="16" t="n"/>
      <c r="G19" s="16" t="n"/>
      <c r="H19" s="23" t="n"/>
      <c r="I19" s="16" t="n"/>
      <c r="J19" s="16" t="n"/>
      <c r="K19" s="26">
        <f>IF(A19="","",COUNTIF(Plans!$A$3:$A$300,A19))</f>
        <v/>
      </c>
    </row>
    <row r="20">
      <c r="A20" s="16" t="n"/>
      <c r="B20" s="16" t="n"/>
      <c r="C20" s="16" t="n"/>
      <c r="D20" s="16" t="n"/>
      <c r="E20" s="16" t="n"/>
      <c r="F20" s="16" t="n"/>
      <c r="G20" s="16" t="n"/>
      <c r="H20" s="23" t="n"/>
      <c r="I20" s="16" t="n"/>
      <c r="J20" s="16" t="n"/>
      <c r="K20" s="26">
        <f>IF(A20="","",COUNTIF(Plans!$A$3:$A$300,A20))</f>
        <v/>
      </c>
    </row>
    <row r="21">
      <c r="A21" s="16" t="n"/>
      <c r="B21" s="16" t="n"/>
      <c r="C21" s="16" t="n"/>
      <c r="D21" s="16" t="n"/>
      <c r="E21" s="16" t="n"/>
      <c r="F21" s="16" t="n"/>
      <c r="G21" s="16" t="n"/>
      <c r="H21" s="23" t="n"/>
      <c r="I21" s="16" t="n"/>
      <c r="J21" s="16" t="n"/>
      <c r="K21" s="26">
        <f>IF(A21="","",COUNTIF(Plans!$A$3:$A$300,A21))</f>
        <v/>
      </c>
    </row>
    <row r="22">
      <c r="A22" s="16" t="n"/>
      <c r="B22" s="16" t="n"/>
      <c r="C22" s="16" t="n"/>
      <c r="D22" s="16" t="n"/>
      <c r="E22" s="16" t="n"/>
      <c r="F22" s="16" t="n"/>
      <c r="G22" s="16" t="n"/>
      <c r="H22" s="23" t="n"/>
      <c r="I22" s="16" t="n"/>
      <c r="J22" s="16" t="n"/>
      <c r="K22" s="26">
        <f>IF(A22="","",COUNTIF(Plans!$A$3:$A$300,A22))</f>
        <v/>
      </c>
    </row>
    <row r="23">
      <c r="A23" s="16" t="n"/>
      <c r="B23" s="16" t="n"/>
      <c r="C23" s="16" t="n"/>
      <c r="D23" s="16" t="n"/>
      <c r="E23" s="16" t="n"/>
      <c r="F23" s="16" t="n"/>
      <c r="G23" s="16" t="n"/>
      <c r="H23" s="23" t="n"/>
      <c r="I23" s="16" t="n"/>
      <c r="J23" s="16" t="n"/>
      <c r="K23" s="26">
        <f>IF(A23="","",COUNTIF(Plans!$A$3:$A$300,A23))</f>
        <v/>
      </c>
    </row>
  </sheetData>
  <dataValidations count="4">
    <dataValidation sqref="C3:C23" showDropDown="0" showInputMessage="0" showErrorMessage="1" allowBlank="1" errorTitle="Valeur hors liste" error="Choisis une valeur dans la liste deroulante." type="list">
      <formula1>=Listes!$G$2:$G$5</formula1>
    </dataValidation>
    <dataValidation sqref="D3:D23" showDropDown="0" showInputMessage="0" showErrorMessage="1" allowBlank="1" errorTitle="Valeur hors liste" error="Choisis une valeur dans la liste deroulante." type="list">
      <formula1>=Listes!$H$2:$H$3</formula1>
    </dataValidation>
    <dataValidation sqref="E3:E23" showDropDown="0" showInputMessage="0" showErrorMessage="1" allowBlank="1" errorTitle="Valeur hors liste" error="Choisis une valeur dans la liste deroulante." type="list">
      <formula1>=Listes!$I$2:$I$4</formula1>
    </dataValidation>
    <dataValidation sqref="I3:I23" showDropDown="0" showInputMessage="0" showErrorMessage="1" allowBlank="1" errorTitle="Valeur hors liste" error="Choisis une valeur dans la liste deroulante." type="list">
      <formula1>=Listes!$A$2:$A$6</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374151"/>
    <outlinePr summaryBelow="1" summaryRight="1"/>
    <pageSetUpPr/>
  </sheetPr>
  <dimension ref="A1:N153"/>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2" customWidth="1" min="2" max="2"/>
    <col width="12" customWidth="1" min="3" max="3"/>
    <col width="9" customWidth="1" min="4" max="4"/>
    <col width="12" customWidth="1" min="5" max="5"/>
    <col width="14" customWidth="1" min="6" max="6"/>
    <col width="13" customWidth="1" min="7" max="7"/>
    <col width="11" customWidth="1" min="8" max="8"/>
    <col width="12" customWidth="1" min="9" max="9"/>
    <col width="13" customWidth="1" min="10" max="10"/>
    <col width="11" customWidth="1" min="11" max="11"/>
    <col width="20" customWidth="1" min="12" max="12"/>
    <col width="22" customWidth="1" min="13" max="13"/>
    <col width="9" customWidth="1" min="14" max="14"/>
  </cols>
  <sheetData>
    <row r="1" ht="30" customHeight="1">
      <c r="A1" s="14" t="inlineStr">
        <is>
          <t>programme_slug</t>
        </is>
      </c>
      <c r="B1" s="14" t="inlineStr">
        <is>
          <t>taille</t>
        </is>
      </c>
      <c r="C1" s="14" t="inlineStr">
        <is>
          <t>variante</t>
        </is>
      </c>
      <c r="D1" s="14" t="inlineStr">
        <is>
          <t>devise</t>
        </is>
      </c>
      <c r="E1" s="14" t="inlineStr">
        <is>
          <t>prix</t>
        </is>
      </c>
      <c r="F1" s="14" t="inlineStr">
        <is>
          <t>plan_carte_promo</t>
        </is>
      </c>
      <c r="G1" s="14" t="inlineStr">
        <is>
          <t>facturation</t>
        </is>
      </c>
      <c r="H1" s="14" t="inlineStr">
        <is>
          <t>intervalle</t>
        </is>
      </c>
      <c r="I1" s="14" t="inlineStr">
        <is>
          <t>frais_reset</t>
        </is>
      </c>
      <c r="J1" s="14" t="inlineStr">
        <is>
          <t>frais_activation</t>
        </is>
      </c>
      <c r="K1" s="14" t="inlineStr">
        <is>
          <t>nb_phases  (auto)</t>
        </is>
      </c>
      <c r="L1" s="14" t="inlineStr">
        <is>
          <t>controle  (auto)</t>
        </is>
      </c>
      <c r="M1" s="14" t="inlineStr">
        <is>
          <t>lien_plan</t>
        </is>
      </c>
      <c r="N1" s="14" t="inlineStr">
        <is>
          <t>devise_compte</t>
        </is>
      </c>
    </row>
    <row r="2" ht="58" customHeight="1">
      <c r="A2" s="25" t="inlineStr">
        <is>
          <t>Doit exister dans l'onglet Programmes.</t>
        </is>
      </c>
      <c r="B2" s="25" t="inlineStr">
        <is>
          <t>Bouton « 4. Choose an account size ». En chiffres.</t>
        </is>
      </c>
      <c r="C2" s="25" t="inlineStr">
        <is>
          <t>Bouton « 3. Choose a variant ». Vide si une seule variante.</t>
        </is>
      </c>
      <c r="D2" s="25" t="inlineStr">
        <is>
          <t>Devise du prix.</t>
        </is>
      </c>
      <c r="E2" s="25" t="inlineStr">
        <is>
          <t>Prix catalogue, sans remise : le prix barre de « Your selection ».</t>
        </is>
      </c>
      <c r="F2" s="25" t="inlineStr">
        <is>
          <t>oui sur UN seul plan : celui de la carte promo en haut de page.</t>
        </is>
      </c>
      <c r="G2" s="25" t="inlineStr">
        <is>
          <t>one_time (paiement unique) ou subscription (abonnement).</t>
        </is>
      </c>
      <c r="H2" s="25" t="inlineStr">
        <is>
          <t>monthly si abonnement : le prix s'affiche « /month ».</t>
        </is>
      </c>
      <c r="I2" s="25" t="inlineStr">
        <is>
          <t>Carte Fees : prix d'un reset apres une perte. Vide : ligne masquee.</t>
        </is>
      </c>
      <c r="J2" s="25" t="inlineStr">
        <is>
          <t>Carte Fees : frais pour activer le compte finance. 0 : « None ».</t>
        </is>
      </c>
      <c r="K2" s="25" t="inlineStr">
        <is>
          <t>Phases rattachees.</t>
        </is>
      </c>
      <c r="L2" s="25" t="inlineStr">
        <is>
          <t>ok, ou ce qui manque.</t>
        </is>
      </c>
      <c r="M2" s="25" t="inlineStr">
        <is>
          <t>Slug du plan dans prop_firm_challenges (voir DIAGNOSTIC-liens-plans). Les boutons ouvrent alors son lien profond : paiement de CE plan, code applique. Vide : lien general de la firme.</t>
        </is>
      </c>
      <c r="N2" s="25" t="inlineStr">
        <is>
          <t>Devise du SOLDE du compte : la taille, l'objectif et les limites. Vide : la devise du prix. A remplir quand la firme facture dans une monnaie et libelle les comptes dans une autre.</t>
        </is>
      </c>
    </row>
    <row r="3">
      <c r="A3" s="17" t="inlineStr">
        <is>
          <t>high-stakes</t>
        </is>
      </c>
      <c r="B3" s="22" t="n">
        <v>2500</v>
      </c>
      <c r="C3" s="17" t="inlineStr">
        <is>
          <t>NEW</t>
        </is>
      </c>
      <c r="D3" s="17" t="inlineStr">
        <is>
          <t>USD</t>
        </is>
      </c>
      <c r="E3" s="27" t="n">
        <v>19</v>
      </c>
      <c r="F3" s="17" t="n"/>
      <c r="G3" s="17" t="inlineStr">
        <is>
          <t>one_time</t>
        </is>
      </c>
      <c r="H3" s="17" t="n"/>
      <c r="I3" s="27" t="n"/>
      <c r="J3" s="27" t="n">
        <v>0</v>
      </c>
      <c r="K3" s="26">
        <f>IF(A3="","",SUMPRODUCT((Phases!$A$3:$A$900=A3)*(Phases!$B$3:$B$900=B3)*(Phases!$C$3:$C$900=C3)))</f>
        <v/>
      </c>
      <c r="L3" s="28">
        <f>IF(A3="","",IF(COUNTIF(Programmes!$A$3:$A$60,A3)=0,"programme inconnu",IF(K3=0,"aucune phase","ok")))</f>
        <v/>
      </c>
      <c r="N3" t="inlineStr">
        <is>
          <t>USD</t>
        </is>
      </c>
    </row>
    <row r="4">
      <c r="A4" s="16" t="inlineStr">
        <is>
          <t>high-stakes</t>
        </is>
      </c>
      <c r="B4" s="21" t="n">
        <v>5000</v>
      </c>
      <c r="C4" s="16" t="inlineStr">
        <is>
          <t>NEW</t>
        </is>
      </c>
      <c r="D4" s="16" t="inlineStr">
        <is>
          <t>USD</t>
        </is>
      </c>
      <c r="E4" s="29" t="n">
        <v>35</v>
      </c>
      <c r="F4" s="16" t="n"/>
      <c r="G4" s="16" t="inlineStr">
        <is>
          <t>one_time</t>
        </is>
      </c>
      <c r="H4" s="16" t="n"/>
      <c r="I4" s="29" t="n"/>
      <c r="J4" s="29" t="n">
        <v>0</v>
      </c>
      <c r="K4" s="26">
        <f>IF(A4="","",SUMPRODUCT((Phases!$A$3:$A$900=A4)*(Phases!$B$3:$B$900=B4)*(Phases!$C$3:$C$900=C4)))</f>
        <v/>
      </c>
      <c r="L4" s="28">
        <f>IF(A4="","",IF(COUNTIF(Programmes!$A$3:$A$60,A4)=0,"programme inconnu",IF(K4=0,"aucune phase","ok")))</f>
        <v/>
      </c>
      <c r="N4" t="inlineStr">
        <is>
          <t>USD</t>
        </is>
      </c>
    </row>
    <row r="5">
      <c r="A5" s="16" t="inlineStr">
        <is>
          <t>high-stakes</t>
        </is>
      </c>
      <c r="B5" s="21" t="n">
        <v>10000</v>
      </c>
      <c r="C5" s="16" t="inlineStr">
        <is>
          <t>NEW</t>
        </is>
      </c>
      <c r="D5" s="16" t="inlineStr">
        <is>
          <t>USD</t>
        </is>
      </c>
      <c r="E5" s="29" t="n">
        <v>69</v>
      </c>
      <c r="F5" s="16" t="n"/>
      <c r="G5" s="16" t="inlineStr">
        <is>
          <t>one_time</t>
        </is>
      </c>
      <c r="H5" s="16" t="n"/>
      <c r="I5" s="29" t="n"/>
      <c r="J5" s="29" t="n">
        <v>0</v>
      </c>
      <c r="K5" s="26">
        <f>IF(A5="","",SUMPRODUCT((Phases!$A$3:$A$900=A5)*(Phases!$B$3:$B$900=B5)*(Phases!$C$3:$C$900=C5)))</f>
        <v/>
      </c>
      <c r="L5" s="28">
        <f>IF(A5="","",IF(COUNTIF(Programmes!$A$3:$A$60,A5)=0,"programme inconnu",IF(K5=0,"aucune phase","ok")))</f>
        <v/>
      </c>
      <c r="N5" t="inlineStr">
        <is>
          <t>USD</t>
        </is>
      </c>
    </row>
    <row r="6">
      <c r="A6" s="16" t="inlineStr">
        <is>
          <t>high-stakes</t>
        </is>
      </c>
      <c r="B6" s="21" t="n">
        <v>25000</v>
      </c>
      <c r="C6" s="16" t="inlineStr">
        <is>
          <t>NEW</t>
        </is>
      </c>
      <c r="D6" s="16" t="inlineStr">
        <is>
          <t>USD</t>
        </is>
      </c>
      <c r="E6" s="29" t="n">
        <v>176</v>
      </c>
      <c r="F6" s="16" t="n"/>
      <c r="G6" s="16" t="inlineStr">
        <is>
          <t>one_time</t>
        </is>
      </c>
      <c r="H6" s="16" t="n"/>
      <c r="I6" s="29" t="n"/>
      <c r="J6" s="29" t="n">
        <v>0</v>
      </c>
      <c r="K6" s="26">
        <f>IF(A6="","",SUMPRODUCT((Phases!$A$3:$A$900=A6)*(Phases!$B$3:$B$900=B6)*(Phases!$C$3:$C$900=C6)))</f>
        <v/>
      </c>
      <c r="L6" s="28">
        <f>IF(A6="","",IF(COUNTIF(Programmes!$A$3:$A$60,A6)=0,"programme inconnu",IF(K6=0,"aucune phase","ok")))</f>
        <v/>
      </c>
      <c r="N6" t="inlineStr">
        <is>
          <t>USD</t>
        </is>
      </c>
    </row>
    <row r="7">
      <c r="A7" s="16" t="inlineStr">
        <is>
          <t>high-stakes</t>
        </is>
      </c>
      <c r="B7" s="21" t="n">
        <v>50000</v>
      </c>
      <c r="C7" s="16" t="inlineStr">
        <is>
          <t>NEW</t>
        </is>
      </c>
      <c r="D7" s="16" t="inlineStr">
        <is>
          <t>USD</t>
        </is>
      </c>
      <c r="E7" s="29" t="n">
        <v>249</v>
      </c>
      <c r="F7" s="16" t="n"/>
      <c r="G7" s="16" t="inlineStr">
        <is>
          <t>one_time</t>
        </is>
      </c>
      <c r="H7" s="16" t="n"/>
      <c r="I7" s="29" t="n"/>
      <c r="J7" s="29" t="n">
        <v>0</v>
      </c>
      <c r="K7" s="26">
        <f>IF(A7="","",SUMPRODUCT((Phases!$A$3:$A$900=A7)*(Phases!$B$3:$B$900=B7)*(Phases!$C$3:$C$900=C7)))</f>
        <v/>
      </c>
      <c r="L7" s="28">
        <f>IF(A7="","",IF(COUNTIF(Programmes!$A$3:$A$60,A7)=0,"programme inconnu",IF(K7=0,"aucune phase","ok")))</f>
        <v/>
      </c>
      <c r="N7" t="inlineStr">
        <is>
          <t>USD</t>
        </is>
      </c>
    </row>
    <row r="8">
      <c r="A8" s="16" t="inlineStr">
        <is>
          <t>high-stakes</t>
        </is>
      </c>
      <c r="B8" s="21" t="n">
        <v>100000</v>
      </c>
      <c r="C8" s="16" t="inlineStr">
        <is>
          <t>NEW</t>
        </is>
      </c>
      <c r="D8" s="16" t="inlineStr">
        <is>
          <t>USD</t>
        </is>
      </c>
      <c r="E8" s="29" t="n">
        <v>405</v>
      </c>
      <c r="F8" s="16" t="inlineStr">
        <is>
          <t>oui</t>
        </is>
      </c>
      <c r="G8" s="16" t="inlineStr">
        <is>
          <t>one_time</t>
        </is>
      </c>
      <c r="H8" s="16" t="n"/>
      <c r="I8" s="29" t="n"/>
      <c r="J8" s="29" t="n">
        <v>0</v>
      </c>
      <c r="K8" s="26">
        <f>IF(A8="","",SUMPRODUCT((Phases!$A$3:$A$900=A8)*(Phases!$B$3:$B$900=B8)*(Phases!$C$3:$C$900=C8)))</f>
        <v/>
      </c>
      <c r="L8" s="28">
        <f>IF(A8="","",IF(COUNTIF(Programmes!$A$3:$A$60,A8)=0,"programme inconnu",IF(K8=0,"aucune phase","ok")))</f>
        <v/>
      </c>
      <c r="N8" t="inlineStr">
        <is>
          <t>USD</t>
        </is>
      </c>
    </row>
    <row r="9">
      <c r="A9" s="16" t="inlineStr">
        <is>
          <t>high-stakes</t>
        </is>
      </c>
      <c r="B9" s="21" t="n">
        <v>2500</v>
      </c>
      <c r="C9" s="16" t="inlineStr">
        <is>
          <t>Classic</t>
        </is>
      </c>
      <c r="D9" s="16" t="inlineStr">
        <is>
          <t>USD</t>
        </is>
      </c>
      <c r="E9" s="29" t="n">
        <v>22</v>
      </c>
      <c r="F9" s="16" t="n"/>
      <c r="G9" s="16" t="inlineStr">
        <is>
          <t>one_time</t>
        </is>
      </c>
      <c r="H9" s="16" t="n"/>
      <c r="I9" s="29" t="n"/>
      <c r="J9" s="29" t="n">
        <v>0</v>
      </c>
      <c r="K9" s="26">
        <f>IF(A9="","",SUMPRODUCT((Phases!$A$3:$A$900=A9)*(Phases!$B$3:$B$900=B9)*(Phases!$C$3:$C$900=C9)))</f>
        <v/>
      </c>
      <c r="L9" s="28">
        <f>IF(A9="","",IF(COUNTIF(Programmes!$A$3:$A$60,A9)=0,"programme inconnu",IF(K9=0,"aucune phase","ok")))</f>
        <v/>
      </c>
      <c r="N9" t="inlineStr">
        <is>
          <t>USD</t>
        </is>
      </c>
    </row>
    <row r="10">
      <c r="A10" s="16" t="inlineStr">
        <is>
          <t>high-stakes</t>
        </is>
      </c>
      <c r="B10" s="21" t="n">
        <v>5000</v>
      </c>
      <c r="C10" s="16" t="inlineStr">
        <is>
          <t>Classic</t>
        </is>
      </c>
      <c r="D10" s="16" t="inlineStr">
        <is>
          <t>USD</t>
        </is>
      </c>
      <c r="E10" s="29" t="n">
        <v>39</v>
      </c>
      <c r="F10" s="16" t="n"/>
      <c r="G10" s="16" t="inlineStr">
        <is>
          <t>one_time</t>
        </is>
      </c>
      <c r="H10" s="16" t="n"/>
      <c r="I10" s="29" t="n"/>
      <c r="J10" s="29" t="n">
        <v>0</v>
      </c>
      <c r="K10" s="26">
        <f>IF(A10="","",SUMPRODUCT((Phases!$A$3:$A$900=A10)*(Phases!$B$3:$B$900=B10)*(Phases!$C$3:$C$900=C10)))</f>
        <v/>
      </c>
      <c r="L10" s="28">
        <f>IF(A10="","",IF(COUNTIF(Programmes!$A$3:$A$60,A10)=0,"programme inconnu",IF(K10=0,"aucune phase","ok")))</f>
        <v/>
      </c>
      <c r="N10" t="inlineStr">
        <is>
          <t>USD</t>
        </is>
      </c>
    </row>
    <row r="11">
      <c r="A11" s="16" t="inlineStr">
        <is>
          <t>high-stakes</t>
        </is>
      </c>
      <c r="B11" s="21" t="n">
        <v>10000</v>
      </c>
      <c r="C11" s="16" t="inlineStr">
        <is>
          <t>Classic</t>
        </is>
      </c>
      <c r="D11" s="16" t="inlineStr">
        <is>
          <t>USD</t>
        </is>
      </c>
      <c r="E11" s="29" t="n">
        <v>78</v>
      </c>
      <c r="F11" s="16" t="n"/>
      <c r="G11" s="16" t="inlineStr">
        <is>
          <t>one_time</t>
        </is>
      </c>
      <c r="H11" s="16" t="n"/>
      <c r="I11" s="29" t="n"/>
      <c r="J11" s="29" t="n">
        <v>0</v>
      </c>
      <c r="K11" s="26">
        <f>IF(A11="","",SUMPRODUCT((Phases!$A$3:$A$900=A11)*(Phases!$B$3:$B$900=B11)*(Phases!$C$3:$C$900=C11)))</f>
        <v/>
      </c>
      <c r="L11" s="28">
        <f>IF(A11="","",IF(COUNTIF(Programmes!$A$3:$A$60,A11)=0,"programme inconnu",IF(K11=0,"aucune phase","ok")))</f>
        <v/>
      </c>
      <c r="N11" t="inlineStr">
        <is>
          <t>USD</t>
        </is>
      </c>
    </row>
    <row r="12">
      <c r="A12" s="16" t="inlineStr">
        <is>
          <t>high-stakes</t>
        </is>
      </c>
      <c r="B12" s="21" t="n">
        <v>25000</v>
      </c>
      <c r="C12" s="16" t="inlineStr">
        <is>
          <t>Classic</t>
        </is>
      </c>
      <c r="D12" s="16" t="inlineStr">
        <is>
          <t>USD</t>
        </is>
      </c>
      <c r="E12" s="29" t="n">
        <v>195</v>
      </c>
      <c r="F12" s="16" t="n"/>
      <c r="G12" s="16" t="inlineStr">
        <is>
          <t>one_time</t>
        </is>
      </c>
      <c r="H12" s="16" t="n"/>
      <c r="I12" s="29" t="n"/>
      <c r="J12" s="29" t="n">
        <v>0</v>
      </c>
      <c r="K12" s="26">
        <f>IF(A12="","",SUMPRODUCT((Phases!$A$3:$A$900=A12)*(Phases!$B$3:$B$900=B12)*(Phases!$C$3:$C$900=C12)))</f>
        <v/>
      </c>
      <c r="L12" s="28">
        <f>IF(A12="","",IF(COUNTIF(Programmes!$A$3:$A$60,A12)=0,"programme inconnu",IF(K12=0,"aucune phase","ok")))</f>
        <v/>
      </c>
      <c r="N12" t="inlineStr">
        <is>
          <t>USD</t>
        </is>
      </c>
    </row>
    <row r="13">
      <c r="A13" s="16" t="inlineStr">
        <is>
          <t>high-stakes</t>
        </is>
      </c>
      <c r="B13" s="21" t="n">
        <v>50000</v>
      </c>
      <c r="C13" s="16" t="inlineStr">
        <is>
          <t>Classic</t>
        </is>
      </c>
      <c r="D13" s="16" t="inlineStr">
        <is>
          <t>USD</t>
        </is>
      </c>
      <c r="E13" s="29" t="n">
        <v>279</v>
      </c>
      <c r="F13" s="16" t="n"/>
      <c r="G13" s="16" t="inlineStr">
        <is>
          <t>one_time</t>
        </is>
      </c>
      <c r="H13" s="16" t="n"/>
      <c r="I13" s="29" t="n"/>
      <c r="J13" s="29" t="n">
        <v>0</v>
      </c>
      <c r="K13" s="26">
        <f>IF(A13="","",SUMPRODUCT((Phases!$A$3:$A$900=A13)*(Phases!$B$3:$B$900=B13)*(Phases!$C$3:$C$900=C13)))</f>
        <v/>
      </c>
      <c r="L13" s="28">
        <f>IF(A13="","",IF(COUNTIF(Programmes!$A$3:$A$60,A13)=0,"programme inconnu",IF(K13=0,"aucune phase","ok")))</f>
        <v/>
      </c>
      <c r="N13" t="inlineStr">
        <is>
          <t>USD</t>
        </is>
      </c>
    </row>
    <row r="14">
      <c r="A14" s="16" t="inlineStr">
        <is>
          <t>high-stakes</t>
        </is>
      </c>
      <c r="B14" s="21" t="n">
        <v>100000</v>
      </c>
      <c r="C14" s="16" t="inlineStr">
        <is>
          <t>Classic</t>
        </is>
      </c>
      <c r="D14" s="16" t="inlineStr">
        <is>
          <t>USD</t>
        </is>
      </c>
      <c r="E14" s="29" t="n">
        <v>455</v>
      </c>
      <c r="F14" s="16" t="n"/>
      <c r="G14" s="16" t="inlineStr">
        <is>
          <t>one_time</t>
        </is>
      </c>
      <c r="H14" s="16" t="n"/>
      <c r="I14" s="29" t="n"/>
      <c r="J14" s="29" t="n">
        <v>0</v>
      </c>
      <c r="K14" s="26">
        <f>IF(A14="","",SUMPRODUCT((Phases!$A$3:$A$900=A14)*(Phases!$B$3:$B$900=B14)*(Phases!$C$3:$C$900=C14)))</f>
        <v/>
      </c>
      <c r="L14" s="28">
        <f>IF(A14="","",IF(COUNTIF(Programmes!$A$3:$A$60,A14)=0,"programme inconnu",IF(K14=0,"aucune phase","ok")))</f>
        <v/>
      </c>
      <c r="N14" t="inlineStr">
        <is>
          <t>USD</t>
        </is>
      </c>
    </row>
    <row r="15">
      <c r="A15" s="16" t="inlineStr">
        <is>
          <t>pro-growth</t>
        </is>
      </c>
      <c r="B15" s="21" t="n">
        <v>5000</v>
      </c>
      <c r="C15" s="16" t="n"/>
      <c r="D15" s="16" t="inlineStr">
        <is>
          <t>USD</t>
        </is>
      </c>
      <c r="E15" s="29" t="n">
        <v>52</v>
      </c>
      <c r="F15" s="16" t="n"/>
      <c r="G15" s="16" t="inlineStr">
        <is>
          <t>one_time</t>
        </is>
      </c>
      <c r="H15" s="16" t="n"/>
      <c r="I15" s="29" t="n"/>
      <c r="J15" s="29" t="n">
        <v>0</v>
      </c>
      <c r="K15" s="26">
        <f>IF(A15="","",SUMPRODUCT((Phases!$A$3:$A$900=A15)*(Phases!$B$3:$B$900=B15)*(Phases!$C$3:$C$900=C15)))</f>
        <v/>
      </c>
      <c r="L15" s="28">
        <f>IF(A15="","",IF(COUNTIF(Programmes!$A$3:$A$60,A15)=0,"programme inconnu",IF(K15=0,"aucune phase","ok")))</f>
        <v/>
      </c>
      <c r="N15" t="inlineStr">
        <is>
          <t>USD</t>
        </is>
      </c>
    </row>
    <row r="16">
      <c r="A16" s="16" t="inlineStr">
        <is>
          <t>pro-growth</t>
        </is>
      </c>
      <c r="B16" s="21" t="n">
        <v>10000</v>
      </c>
      <c r="C16" s="16" t="n"/>
      <c r="D16" s="16" t="inlineStr">
        <is>
          <t>USD</t>
        </is>
      </c>
      <c r="E16" s="29" t="n">
        <v>98</v>
      </c>
      <c r="F16" s="16" t="n"/>
      <c r="G16" s="16" t="inlineStr">
        <is>
          <t>one_time</t>
        </is>
      </c>
      <c r="H16" s="16" t="n"/>
      <c r="I16" s="29" t="n"/>
      <c r="J16" s="29" t="n">
        <v>0</v>
      </c>
      <c r="K16" s="26">
        <f>IF(A16="","",SUMPRODUCT((Phases!$A$3:$A$900=A16)*(Phases!$B$3:$B$900=B16)*(Phases!$C$3:$C$900=C16)))</f>
        <v/>
      </c>
      <c r="L16" s="28">
        <f>IF(A16="","",IF(COUNTIF(Programmes!$A$3:$A$60,A16)=0,"programme inconnu",IF(K16=0,"aucune phase","ok")))</f>
        <v/>
      </c>
      <c r="N16" t="inlineStr">
        <is>
          <t>USD</t>
        </is>
      </c>
    </row>
    <row r="17">
      <c r="A17" s="16" t="inlineStr">
        <is>
          <t>pro-growth</t>
        </is>
      </c>
      <c r="B17" s="21" t="n">
        <v>20000</v>
      </c>
      <c r="C17" s="16" t="n"/>
      <c r="D17" s="16" t="inlineStr">
        <is>
          <t>USD</t>
        </is>
      </c>
      <c r="E17" s="29" t="n">
        <v>189</v>
      </c>
      <c r="F17" s="16" t="n"/>
      <c r="G17" s="16" t="inlineStr">
        <is>
          <t>one_time</t>
        </is>
      </c>
      <c r="H17" s="16" t="n"/>
      <c r="I17" s="29" t="n"/>
      <c r="J17" s="29" t="n">
        <v>0</v>
      </c>
      <c r="K17" s="26">
        <f>IF(A17="","",SUMPRODUCT((Phases!$A$3:$A$900=A17)*(Phases!$B$3:$B$900=B17)*(Phases!$C$3:$C$900=C17)))</f>
        <v/>
      </c>
      <c r="L17" s="28">
        <f>IF(A17="","",IF(COUNTIF(Programmes!$A$3:$A$60,A17)=0,"programme inconnu",IF(K17=0,"aucune phase","ok")))</f>
        <v/>
      </c>
      <c r="N17" t="inlineStr">
        <is>
          <t>USD</t>
        </is>
      </c>
    </row>
    <row r="18">
      <c r="A18" s="16" t="inlineStr">
        <is>
          <t>pro-growth</t>
        </is>
      </c>
      <c r="B18" s="21" t="n">
        <v>50000</v>
      </c>
      <c r="C18" s="16" t="n"/>
      <c r="D18" s="16" t="inlineStr">
        <is>
          <t>USD</t>
        </is>
      </c>
      <c r="E18" s="29" t="n">
        <v>329</v>
      </c>
      <c r="F18" s="16" t="n"/>
      <c r="G18" s="16" t="inlineStr">
        <is>
          <t>one_time</t>
        </is>
      </c>
      <c r="H18" s="16" t="n"/>
      <c r="I18" s="29" t="n"/>
      <c r="J18" s="29" t="n">
        <v>0</v>
      </c>
      <c r="K18" s="26">
        <f>IF(A18="","",SUMPRODUCT((Phases!$A$3:$A$900=A18)*(Phases!$B$3:$B$900=B18)*(Phases!$C$3:$C$900=C18)))</f>
        <v/>
      </c>
      <c r="L18" s="28">
        <f>IF(A18="","",IF(COUNTIF(Programmes!$A$3:$A$60,A18)=0,"programme inconnu",IF(K18=0,"aucune phase","ok")))</f>
        <v/>
      </c>
      <c r="N18" t="inlineStr">
        <is>
          <t>USD</t>
        </is>
      </c>
    </row>
    <row r="19">
      <c r="A19" s="16" t="inlineStr">
        <is>
          <t>hyper-growth</t>
        </is>
      </c>
      <c r="B19" s="21" t="n">
        <v>5000</v>
      </c>
      <c r="C19" s="16" t="n"/>
      <c r="D19" s="16" t="inlineStr">
        <is>
          <t>USD</t>
        </is>
      </c>
      <c r="E19" s="29" t="n">
        <v>260</v>
      </c>
      <c r="F19" s="16" t="n"/>
      <c r="G19" s="16" t="inlineStr">
        <is>
          <t>one_time</t>
        </is>
      </c>
      <c r="H19" s="16" t="n"/>
      <c r="I19" s="29" t="n"/>
      <c r="J19" s="29" t="n">
        <v>0</v>
      </c>
      <c r="K19" s="26">
        <f>IF(A19="","",SUMPRODUCT((Phases!$A$3:$A$900=A19)*(Phases!$B$3:$B$900=B19)*(Phases!$C$3:$C$900=C19)))</f>
        <v/>
      </c>
      <c r="L19" s="28">
        <f>IF(A19="","",IF(COUNTIF(Programmes!$A$3:$A$60,A19)=0,"programme inconnu",IF(K19=0,"aucune phase","ok")))</f>
        <v/>
      </c>
      <c r="N19" t="inlineStr">
        <is>
          <t>USD</t>
        </is>
      </c>
    </row>
    <row r="20">
      <c r="A20" s="16" t="inlineStr">
        <is>
          <t>hyper-growth</t>
        </is>
      </c>
      <c r="B20" s="21" t="n">
        <v>10000</v>
      </c>
      <c r="C20" s="16" t="n"/>
      <c r="D20" s="16" t="inlineStr">
        <is>
          <t>USD</t>
        </is>
      </c>
      <c r="E20" s="29" t="n">
        <v>450</v>
      </c>
      <c r="F20" s="16" t="n"/>
      <c r="G20" s="16" t="inlineStr">
        <is>
          <t>one_time</t>
        </is>
      </c>
      <c r="H20" s="16" t="n"/>
      <c r="I20" s="29" t="n"/>
      <c r="J20" s="29" t="n">
        <v>0</v>
      </c>
      <c r="K20" s="26">
        <f>IF(A20="","",SUMPRODUCT((Phases!$A$3:$A$900=A20)*(Phases!$B$3:$B$900=B20)*(Phases!$C$3:$C$900=C20)))</f>
        <v/>
      </c>
      <c r="L20" s="28">
        <f>IF(A20="","",IF(COUNTIF(Programmes!$A$3:$A$60,A20)=0,"programme inconnu",IF(K20=0,"aucune phase","ok")))</f>
        <v/>
      </c>
      <c r="N20" t="inlineStr">
        <is>
          <t>USD</t>
        </is>
      </c>
    </row>
    <row r="21">
      <c r="A21" s="16" t="inlineStr">
        <is>
          <t>hyper-growth</t>
        </is>
      </c>
      <c r="B21" s="21" t="n">
        <v>20000</v>
      </c>
      <c r="C21" s="16" t="n"/>
      <c r="D21" s="16" t="inlineStr">
        <is>
          <t>USD</t>
        </is>
      </c>
      <c r="E21" s="29" t="n">
        <v>850</v>
      </c>
      <c r="F21" s="16" t="n"/>
      <c r="G21" s="16" t="inlineStr">
        <is>
          <t>one_time</t>
        </is>
      </c>
      <c r="H21" s="16" t="n"/>
      <c r="I21" s="29" t="n"/>
      <c r="J21" s="29" t="n">
        <v>0</v>
      </c>
      <c r="K21" s="26">
        <f>IF(A21="","",SUMPRODUCT((Phases!$A$3:$A$900=A21)*(Phases!$B$3:$B$900=B21)*(Phases!$C$3:$C$900=C21)))</f>
        <v/>
      </c>
      <c r="L21" s="28">
        <f>IF(A21="","",IF(COUNTIF(Programmes!$A$3:$A$60,A21)=0,"programme inconnu",IF(K21=0,"aucune phase","ok")))</f>
        <v/>
      </c>
      <c r="N21" t="inlineStr">
        <is>
          <t>USD</t>
        </is>
      </c>
    </row>
    <row r="22">
      <c r="A22" s="16" t="inlineStr">
        <is>
          <t>bootcamp</t>
        </is>
      </c>
      <c r="B22" s="21" t="n">
        <v>20000</v>
      </c>
      <c r="C22" s="16" t="n"/>
      <c r="D22" s="16" t="inlineStr">
        <is>
          <t>USD</t>
        </is>
      </c>
      <c r="E22" s="29" t="n">
        <v>22</v>
      </c>
      <c r="F22" s="16" t="n"/>
      <c r="G22" s="16" t="inlineStr">
        <is>
          <t>one_time</t>
        </is>
      </c>
      <c r="H22" s="16" t="n"/>
      <c r="I22" s="29" t="n"/>
      <c r="J22" s="29" t="n">
        <v>0</v>
      </c>
      <c r="K22" s="26">
        <f>IF(A22="","",SUMPRODUCT((Phases!$A$3:$A$900=A22)*(Phases!$B$3:$B$900=B22)*(Phases!$C$3:$C$900=C22)))</f>
        <v/>
      </c>
      <c r="L22" s="28">
        <f>IF(A22="","",IF(COUNTIF(Programmes!$A$3:$A$60,A22)=0,"programme inconnu",IF(K22=0,"aucune phase","ok")))</f>
        <v/>
      </c>
      <c r="N22" t="inlineStr">
        <is>
          <t>USD</t>
        </is>
      </c>
    </row>
    <row r="23">
      <c r="A23" s="16" t="inlineStr">
        <is>
          <t>bootcamp</t>
        </is>
      </c>
      <c r="B23" s="21" t="n">
        <v>100000</v>
      </c>
      <c r="C23" s="16" t="n"/>
      <c r="D23" s="16" t="inlineStr">
        <is>
          <t>USD</t>
        </is>
      </c>
      <c r="E23" s="29" t="n">
        <v>95</v>
      </c>
      <c r="F23" s="16" t="n"/>
      <c r="G23" s="16" t="inlineStr">
        <is>
          <t>one_time</t>
        </is>
      </c>
      <c r="H23" s="16" t="n"/>
      <c r="I23" s="29" t="n"/>
      <c r="J23" s="29" t="n">
        <v>0</v>
      </c>
      <c r="K23" s="26">
        <f>IF(A23="","",SUMPRODUCT((Phases!$A$3:$A$900=A23)*(Phases!$B$3:$B$900=B23)*(Phases!$C$3:$C$900=C23)))</f>
        <v/>
      </c>
      <c r="L23" s="28">
        <f>IF(A23="","",IF(COUNTIF(Programmes!$A$3:$A$60,A23)=0,"programme inconnu",IF(K23=0,"aucune phase","ok")))</f>
        <v/>
      </c>
      <c r="N23" t="inlineStr">
        <is>
          <t>USD</t>
        </is>
      </c>
    </row>
    <row r="24">
      <c r="A24" s="16" t="inlineStr">
        <is>
          <t>bootcamp</t>
        </is>
      </c>
      <c r="B24" s="21" t="n">
        <v>250000</v>
      </c>
      <c r="C24" s="16" t="n"/>
      <c r="D24" s="16" t="inlineStr">
        <is>
          <t>USD</t>
        </is>
      </c>
      <c r="E24" s="29" t="n">
        <v>225</v>
      </c>
      <c r="F24" s="16" t="n"/>
      <c r="G24" s="16" t="inlineStr">
        <is>
          <t>one_time</t>
        </is>
      </c>
      <c r="H24" s="16" t="n"/>
      <c r="I24" s="29" t="n"/>
      <c r="J24" s="29" t="n">
        <v>0</v>
      </c>
      <c r="K24" s="26">
        <f>IF(A24="","",SUMPRODUCT((Phases!$A$3:$A$900=A24)*(Phases!$B$3:$B$900=B24)*(Phases!$C$3:$C$900=C24)))</f>
        <v/>
      </c>
      <c r="L24" s="28">
        <f>IF(A24="","",IF(COUNTIF(Programmes!$A$3:$A$60,A24)=0,"programme inconnu",IF(K24=0,"aucune phase","ok")))</f>
        <v/>
      </c>
      <c r="N24" t="inlineStr">
        <is>
          <t>USD</t>
        </is>
      </c>
    </row>
    <row r="25">
      <c r="A25" s="16" t="inlineStr">
        <is>
          <t>summer-plan</t>
        </is>
      </c>
      <c r="B25" s="21" t="n">
        <v>100000</v>
      </c>
      <c r="C25" s="16" t="inlineStr">
        <is>
          <t>1-Step</t>
        </is>
      </c>
      <c r="D25" s="16" t="inlineStr">
        <is>
          <t>USD</t>
        </is>
      </c>
      <c r="E25" s="29" t="n">
        <v>249</v>
      </c>
      <c r="F25" s="16" t="n"/>
      <c r="G25" s="16" t="inlineStr">
        <is>
          <t>one_time</t>
        </is>
      </c>
      <c r="H25" s="16" t="n"/>
      <c r="I25" s="29" t="n"/>
      <c r="J25" s="29" t="n">
        <v>0</v>
      </c>
      <c r="K25" s="26">
        <f>IF(A25="","",SUMPRODUCT((Phases!$A$3:$A$900=A25)*(Phases!$B$3:$B$900=B25)*(Phases!$C$3:$C$900=C25)))</f>
        <v/>
      </c>
      <c r="L25" s="28">
        <f>IF(A25="","",IF(COUNTIF(Programmes!$A$3:$A$60,A25)=0,"programme inconnu",IF(K25=0,"aucune phase","ok")))</f>
        <v/>
      </c>
      <c r="N25" t="inlineStr">
        <is>
          <t>USD</t>
        </is>
      </c>
    </row>
    <row r="26">
      <c r="A26" s="16" t="inlineStr">
        <is>
          <t>summer-plan</t>
        </is>
      </c>
      <c r="B26" s="21" t="n">
        <v>100000</v>
      </c>
      <c r="C26" s="16" t="inlineStr">
        <is>
          <t>2-Step 10/5</t>
        </is>
      </c>
      <c r="D26" s="16" t="inlineStr">
        <is>
          <t>USD</t>
        </is>
      </c>
      <c r="E26" s="29" t="n">
        <v>149</v>
      </c>
      <c r="F26" s="16" t="n"/>
      <c r="G26" s="16" t="inlineStr">
        <is>
          <t>one_time</t>
        </is>
      </c>
      <c r="H26" s="16" t="n"/>
      <c r="I26" s="29" t="n"/>
      <c r="J26" s="29" t="n">
        <v>0</v>
      </c>
      <c r="K26" s="26">
        <f>IF(A26="","",SUMPRODUCT((Phases!$A$3:$A$900=A26)*(Phases!$B$3:$B$900=B26)*(Phases!$C$3:$C$900=C26)))</f>
        <v/>
      </c>
      <c r="L26" s="28">
        <f>IF(A26="","",IF(COUNTIF(Programmes!$A$3:$A$60,A26)=0,"programme inconnu",IF(K26=0,"aucune phase","ok")))</f>
        <v/>
      </c>
      <c r="N26" t="inlineStr">
        <is>
          <t>USD</t>
        </is>
      </c>
    </row>
    <row r="27">
      <c r="A27" s="16" t="inlineStr">
        <is>
          <t>summer-plan</t>
        </is>
      </c>
      <c r="B27" s="21" t="n">
        <v>100000</v>
      </c>
      <c r="C27" s="16" t="inlineStr">
        <is>
          <t>2-Step 8/5</t>
        </is>
      </c>
      <c r="D27" s="16" t="inlineStr">
        <is>
          <t>USD</t>
        </is>
      </c>
      <c r="E27" s="29" t="n">
        <v>179</v>
      </c>
      <c r="F27" s="16" t="n"/>
      <c r="G27" s="16" t="inlineStr">
        <is>
          <t>one_time</t>
        </is>
      </c>
      <c r="H27" s="16" t="n"/>
      <c r="I27" s="29" t="n"/>
      <c r="J27" s="29" t="n">
        <v>0</v>
      </c>
      <c r="K27" s="26">
        <f>IF(A27="","",SUMPRODUCT((Phases!$A$3:$A$900=A27)*(Phases!$B$3:$B$900=B27)*(Phases!$C$3:$C$900=C27)))</f>
        <v/>
      </c>
      <c r="L27" s="28">
        <f>IF(A27="","",IF(COUNTIF(Programmes!$A$3:$A$60,A27)=0,"programme inconnu",IF(K27=0,"aucune phase","ok")))</f>
        <v/>
      </c>
      <c r="N27" t="inlineStr">
        <is>
          <t>USD</t>
        </is>
      </c>
    </row>
    <row r="28">
      <c r="A28" s="16" t="inlineStr">
        <is>
          <t>summer-plan</t>
        </is>
      </c>
      <c r="B28" s="21" t="n">
        <v>200000</v>
      </c>
      <c r="C28" s="16" t="inlineStr">
        <is>
          <t>2-Step 10/5</t>
        </is>
      </c>
      <c r="D28" s="16" t="inlineStr">
        <is>
          <t>USD</t>
        </is>
      </c>
      <c r="E28" s="29" t="n">
        <v>249</v>
      </c>
      <c r="F28" s="16" t="n"/>
      <c r="G28" s="16" t="inlineStr">
        <is>
          <t>one_time</t>
        </is>
      </c>
      <c r="H28" s="16" t="n"/>
      <c r="I28" s="29" t="n"/>
      <c r="J28" s="29" t="n">
        <v>0</v>
      </c>
      <c r="K28" s="26">
        <f>IF(A28="","",SUMPRODUCT((Phases!$A$3:$A$900=A28)*(Phases!$B$3:$B$900=B28)*(Phases!$C$3:$C$900=C28)))</f>
        <v/>
      </c>
      <c r="L28" s="28">
        <f>IF(A28="","",IF(COUNTIF(Programmes!$A$3:$A$60,A28)=0,"programme inconnu",IF(K28=0,"aucune phase","ok")))</f>
        <v/>
      </c>
      <c r="N28" t="inlineStr">
        <is>
          <t>USD</t>
        </is>
      </c>
    </row>
    <row r="29">
      <c r="A29" s="16" t="inlineStr">
        <is>
          <t>summer-plan</t>
        </is>
      </c>
      <c r="B29" s="21" t="n">
        <v>200000</v>
      </c>
      <c r="C29" s="16" t="inlineStr">
        <is>
          <t>2-Step 8/5</t>
        </is>
      </c>
      <c r="D29" s="16" t="inlineStr">
        <is>
          <t>USD</t>
        </is>
      </c>
      <c r="E29" s="29" t="n">
        <v>279</v>
      </c>
      <c r="F29" s="16" t="n"/>
      <c r="G29" s="16" t="inlineStr">
        <is>
          <t>one_time</t>
        </is>
      </c>
      <c r="H29" s="16" t="n"/>
      <c r="I29" s="29" t="n"/>
      <c r="J29" s="29" t="n">
        <v>0</v>
      </c>
      <c r="K29" s="26">
        <f>IF(A29="","",SUMPRODUCT((Phases!$A$3:$A$900=A29)*(Phases!$B$3:$B$900=B29)*(Phases!$C$3:$C$900=C29)))</f>
        <v/>
      </c>
      <c r="L29" s="28">
        <f>IF(A29="","",IF(COUNTIF(Programmes!$A$3:$A$60,A29)=0,"programme inconnu",IF(K29=0,"aucune phase","ok")))</f>
        <v/>
      </c>
      <c r="N29" t="inlineStr">
        <is>
          <t>USD</t>
        </is>
      </c>
    </row>
    <row r="30">
      <c r="A30" s="16" t="inlineStr">
        <is>
          <t>futures</t>
        </is>
      </c>
      <c r="B30" s="21" t="n">
        <v>25000</v>
      </c>
      <c r="C30" s="16" t="inlineStr">
        <is>
          <t>Day Trade</t>
        </is>
      </c>
      <c r="D30" s="16" t="inlineStr">
        <is>
          <t>USD</t>
        </is>
      </c>
      <c r="E30" s="29" t="n">
        <v>59</v>
      </c>
      <c r="F30" s="16" t="n"/>
      <c r="G30" s="16" t="inlineStr">
        <is>
          <t>one_time</t>
        </is>
      </c>
      <c r="H30" s="16" t="n"/>
      <c r="I30" s="29" t="n"/>
      <c r="J30" s="29" t="n">
        <v>0</v>
      </c>
      <c r="K30" s="26">
        <f>IF(A30="","",SUMPRODUCT((Phases!$A$3:$A$900=A30)*(Phases!$B$3:$B$900=B30)*(Phases!$C$3:$C$900=C30)))</f>
        <v/>
      </c>
      <c r="L30" s="28">
        <f>IF(A30="","",IF(COUNTIF(Programmes!$A$3:$A$60,A30)=0,"programme inconnu",IF(K30=0,"aucune phase","ok")))</f>
        <v/>
      </c>
      <c r="N30" t="inlineStr">
        <is>
          <t>USD</t>
        </is>
      </c>
    </row>
    <row r="31">
      <c r="A31" s="16" t="inlineStr">
        <is>
          <t>futures</t>
        </is>
      </c>
      <c r="B31" s="21" t="n">
        <v>50000</v>
      </c>
      <c r="C31" s="16" t="inlineStr">
        <is>
          <t>Day Trade</t>
        </is>
      </c>
      <c r="D31" s="16" t="inlineStr">
        <is>
          <t>USD</t>
        </is>
      </c>
      <c r="E31" s="29" t="n">
        <v>100</v>
      </c>
      <c r="F31" s="16" t="n"/>
      <c r="G31" s="16" t="inlineStr">
        <is>
          <t>one_time</t>
        </is>
      </c>
      <c r="H31" s="16" t="n"/>
      <c r="I31" s="29" t="n"/>
      <c r="J31" s="29" t="n">
        <v>0</v>
      </c>
      <c r="K31" s="26">
        <f>IF(A31="","",SUMPRODUCT((Phases!$A$3:$A$900=A31)*(Phases!$B$3:$B$900=B31)*(Phases!$C$3:$C$900=C31)))</f>
        <v/>
      </c>
      <c r="L31" s="28">
        <f>IF(A31="","",IF(COUNTIF(Programmes!$A$3:$A$60,A31)=0,"programme inconnu",IF(K31=0,"aucune phase","ok")))</f>
        <v/>
      </c>
      <c r="N31" t="inlineStr">
        <is>
          <t>USD</t>
        </is>
      </c>
    </row>
    <row r="32">
      <c r="A32" s="16" t="inlineStr">
        <is>
          <t>futures</t>
        </is>
      </c>
      <c r="B32" s="21" t="n">
        <v>100000</v>
      </c>
      <c r="C32" s="16" t="inlineStr">
        <is>
          <t>Day Trade</t>
        </is>
      </c>
      <c r="D32" s="16" t="inlineStr">
        <is>
          <t>USD</t>
        </is>
      </c>
      <c r="E32" s="29" t="n">
        <v>170</v>
      </c>
      <c r="F32" s="16" t="n"/>
      <c r="G32" s="16" t="inlineStr">
        <is>
          <t>one_time</t>
        </is>
      </c>
      <c r="H32" s="16" t="n"/>
      <c r="I32" s="29" t="n"/>
      <c r="J32" s="29" t="n">
        <v>0</v>
      </c>
      <c r="K32" s="26">
        <f>IF(A32="","",SUMPRODUCT((Phases!$A$3:$A$900=A32)*(Phases!$B$3:$B$900=B32)*(Phases!$C$3:$C$900=C32)))</f>
        <v/>
      </c>
      <c r="L32" s="28">
        <f>IF(A32="","",IF(COUNTIF(Programmes!$A$3:$A$60,A32)=0,"programme inconnu",IF(K32=0,"aucune phase","ok")))</f>
        <v/>
      </c>
      <c r="N32" t="inlineStr">
        <is>
          <t>USD</t>
        </is>
      </c>
    </row>
    <row r="33">
      <c r="A33" s="16" t="inlineStr">
        <is>
          <t>futures</t>
        </is>
      </c>
      <c r="B33" s="21" t="n">
        <v>150000</v>
      </c>
      <c r="C33" s="16" t="inlineStr">
        <is>
          <t>Day Trade</t>
        </is>
      </c>
      <c r="D33" s="16" t="inlineStr">
        <is>
          <t>USD</t>
        </is>
      </c>
      <c r="E33" s="29" t="n">
        <v>199</v>
      </c>
      <c r="F33" s="16" t="n"/>
      <c r="G33" s="16" t="inlineStr">
        <is>
          <t>one_time</t>
        </is>
      </c>
      <c r="H33" s="16" t="n"/>
      <c r="I33" s="29" t="n"/>
      <c r="J33" s="29" t="n">
        <v>0</v>
      </c>
      <c r="K33" s="26">
        <f>IF(A33="","",SUMPRODUCT((Phases!$A$3:$A$900=A33)*(Phases!$B$3:$B$900=B33)*(Phases!$C$3:$C$900=C33)))</f>
        <v/>
      </c>
      <c r="L33" s="28">
        <f>IF(A33="","",IF(COUNTIF(Programmes!$A$3:$A$60,A33)=0,"programme inconnu",IF(K33=0,"aucune phase","ok")))</f>
        <v/>
      </c>
      <c r="N33" t="inlineStr">
        <is>
          <t>USD</t>
        </is>
      </c>
    </row>
    <row r="34">
      <c r="A34" s="16" t="inlineStr">
        <is>
          <t>futures</t>
        </is>
      </c>
      <c r="B34" s="21" t="n">
        <v>25000</v>
      </c>
      <c r="C34" s="16" t="inlineStr">
        <is>
          <t>Swing</t>
        </is>
      </c>
      <c r="D34" s="16" t="inlineStr">
        <is>
          <t>USD</t>
        </is>
      </c>
      <c r="E34" s="29" t="n">
        <v>59</v>
      </c>
      <c r="F34" s="16" t="n"/>
      <c r="G34" s="16" t="inlineStr">
        <is>
          <t>one_time</t>
        </is>
      </c>
      <c r="H34" s="16" t="n"/>
      <c r="I34" s="29" t="n"/>
      <c r="J34" s="29" t="n">
        <v>0</v>
      </c>
      <c r="K34" s="26">
        <f>IF(A34="","",SUMPRODUCT((Phases!$A$3:$A$900=A34)*(Phases!$B$3:$B$900=B34)*(Phases!$C$3:$C$900=C34)))</f>
        <v/>
      </c>
      <c r="L34" s="28">
        <f>IF(A34="","",IF(COUNTIF(Programmes!$A$3:$A$60,A34)=0,"programme inconnu",IF(K34=0,"aucune phase","ok")))</f>
        <v/>
      </c>
      <c r="N34" t="inlineStr">
        <is>
          <t>USD</t>
        </is>
      </c>
    </row>
    <row r="35">
      <c r="A35" s="16" t="inlineStr">
        <is>
          <t>futures</t>
        </is>
      </c>
      <c r="B35" s="21" t="n">
        <v>50000</v>
      </c>
      <c r="C35" s="16" t="inlineStr">
        <is>
          <t>Swing</t>
        </is>
      </c>
      <c r="D35" s="16" t="inlineStr">
        <is>
          <t>USD</t>
        </is>
      </c>
      <c r="E35" s="29" t="n">
        <v>100</v>
      </c>
      <c r="F35" s="16" t="n"/>
      <c r="G35" s="16" t="inlineStr">
        <is>
          <t>one_time</t>
        </is>
      </c>
      <c r="H35" s="16" t="n"/>
      <c r="I35" s="29" t="n"/>
      <c r="J35" s="29" t="n">
        <v>0</v>
      </c>
      <c r="K35" s="26">
        <f>IF(A35="","",SUMPRODUCT((Phases!$A$3:$A$900=A35)*(Phases!$B$3:$B$900=B35)*(Phases!$C$3:$C$900=C35)))</f>
        <v/>
      </c>
      <c r="L35" s="28">
        <f>IF(A35="","",IF(COUNTIF(Programmes!$A$3:$A$60,A35)=0,"programme inconnu",IF(K35=0,"aucune phase","ok")))</f>
        <v/>
      </c>
      <c r="N35" t="inlineStr">
        <is>
          <t>USD</t>
        </is>
      </c>
    </row>
    <row r="36">
      <c r="A36" s="16" t="inlineStr">
        <is>
          <t>futures</t>
        </is>
      </c>
      <c r="B36" s="21" t="n">
        <v>100000</v>
      </c>
      <c r="C36" s="16" t="inlineStr">
        <is>
          <t>Swing</t>
        </is>
      </c>
      <c r="D36" s="16" t="inlineStr">
        <is>
          <t>USD</t>
        </is>
      </c>
      <c r="E36" s="29" t="n">
        <v>170</v>
      </c>
      <c r="F36" s="16" t="n"/>
      <c r="G36" s="16" t="inlineStr">
        <is>
          <t>one_time</t>
        </is>
      </c>
      <c r="H36" s="16" t="n"/>
      <c r="I36" s="29" t="n"/>
      <c r="J36" s="29" t="n">
        <v>0</v>
      </c>
      <c r="K36" s="26">
        <f>IF(A36="","",SUMPRODUCT((Phases!$A$3:$A$900=A36)*(Phases!$B$3:$B$900=B36)*(Phases!$C$3:$C$900=C36)))</f>
        <v/>
      </c>
      <c r="L36" s="28">
        <f>IF(A36="","",IF(COUNTIF(Programmes!$A$3:$A$60,A36)=0,"programme inconnu",IF(K36=0,"aucune phase","ok")))</f>
        <v/>
      </c>
      <c r="N36" t="inlineStr">
        <is>
          <t>USD</t>
        </is>
      </c>
    </row>
    <row r="37">
      <c r="A37" s="16" t="inlineStr">
        <is>
          <t>futures</t>
        </is>
      </c>
      <c r="B37" s="21" t="n">
        <v>150000</v>
      </c>
      <c r="C37" s="16" t="inlineStr">
        <is>
          <t>Swing</t>
        </is>
      </c>
      <c r="D37" s="16" t="inlineStr">
        <is>
          <t>USD</t>
        </is>
      </c>
      <c r="E37" s="29" t="n">
        <v>199</v>
      </c>
      <c r="F37" s="16" t="n"/>
      <c r="G37" s="16" t="inlineStr">
        <is>
          <t>one_time</t>
        </is>
      </c>
      <c r="H37" s="16" t="n"/>
      <c r="I37" s="29" t="n"/>
      <c r="J37" s="29" t="n">
        <v>0</v>
      </c>
      <c r="K37" s="26">
        <f>IF(A37="","",SUMPRODUCT((Phases!$A$3:$A$900=A37)*(Phases!$B$3:$B$900=B37)*(Phases!$C$3:$C$900=C37)))</f>
        <v/>
      </c>
      <c r="L37" s="28">
        <f>IF(A37="","",IF(COUNTIF(Programmes!$A$3:$A$60,A37)=0,"programme inconnu",IF(K37=0,"aucune phase","ok")))</f>
        <v/>
      </c>
      <c r="N37" t="inlineStr">
        <is>
          <t>USD</t>
        </is>
      </c>
    </row>
    <row r="38">
      <c r="A38" s="16" t="n"/>
      <c r="B38" s="21" t="n"/>
      <c r="C38" s="16" t="n"/>
      <c r="D38" s="16" t="n"/>
      <c r="E38" s="29" t="n"/>
      <c r="F38" s="16" t="n"/>
      <c r="G38" s="16" t="n"/>
      <c r="H38" s="16" t="n"/>
      <c r="I38" s="29" t="n"/>
      <c r="J38" s="29" t="n"/>
      <c r="K38" s="26">
        <f>IF(A38="","",SUMPRODUCT((Phases!$A$3:$A$900=A38)*(Phases!$B$3:$B$900=B38)*(Phases!$C$3:$C$900=C38)))</f>
        <v/>
      </c>
      <c r="L38" s="28">
        <f>IF(A38="","",IF(COUNTIF(Programmes!$A$3:$A$60,A38)=0,"programme inconnu",IF(K38=0,"aucune phase","ok")))</f>
        <v/>
      </c>
    </row>
    <row r="39">
      <c r="A39" s="16" t="n"/>
      <c r="B39" s="21" t="n"/>
      <c r="C39" s="16" t="n"/>
      <c r="D39" s="16" t="n"/>
      <c r="E39" s="29" t="n"/>
      <c r="F39" s="16" t="n"/>
      <c r="G39" s="16" t="n"/>
      <c r="H39" s="16" t="n"/>
      <c r="I39" s="29" t="n"/>
      <c r="J39" s="29" t="n"/>
      <c r="K39" s="26">
        <f>IF(A39="","",SUMPRODUCT((Phases!$A$3:$A$900=A39)*(Phases!$B$3:$B$900=B39)*(Phases!$C$3:$C$900=C39)))</f>
        <v/>
      </c>
      <c r="L39" s="28">
        <f>IF(A39="","",IF(COUNTIF(Programmes!$A$3:$A$60,A39)=0,"programme inconnu",IF(K39=0,"aucune phase","ok")))</f>
        <v/>
      </c>
    </row>
    <row r="40">
      <c r="A40" s="16" t="n"/>
      <c r="B40" s="21" t="n"/>
      <c r="C40" s="16" t="n"/>
      <c r="D40" s="16" t="n"/>
      <c r="E40" s="29" t="n"/>
      <c r="F40" s="16" t="n"/>
      <c r="G40" s="16" t="n"/>
      <c r="H40" s="16" t="n"/>
      <c r="I40" s="29" t="n"/>
      <c r="J40" s="29" t="n"/>
      <c r="K40" s="26">
        <f>IF(A40="","",SUMPRODUCT((Phases!$A$3:$A$900=A40)*(Phases!$B$3:$B$900=B40)*(Phases!$C$3:$C$900=C40)))</f>
        <v/>
      </c>
      <c r="L40" s="28">
        <f>IF(A40="","",IF(COUNTIF(Programmes!$A$3:$A$60,A40)=0,"programme inconnu",IF(K40=0,"aucune phase","ok")))</f>
        <v/>
      </c>
    </row>
    <row r="41">
      <c r="A41" s="16" t="n"/>
      <c r="B41" s="21" t="n"/>
      <c r="C41" s="16" t="n"/>
      <c r="D41" s="16" t="n"/>
      <c r="E41" s="29" t="n"/>
      <c r="F41" s="16" t="n"/>
      <c r="G41" s="16" t="n"/>
      <c r="H41" s="16" t="n"/>
      <c r="I41" s="29" t="n"/>
      <c r="J41" s="29" t="n"/>
      <c r="K41" s="26">
        <f>IF(A41="","",SUMPRODUCT((Phases!$A$3:$A$900=A41)*(Phases!$B$3:$B$900=B41)*(Phases!$C$3:$C$900=C41)))</f>
        <v/>
      </c>
      <c r="L41" s="28">
        <f>IF(A41="","",IF(COUNTIF(Programmes!$A$3:$A$60,A41)=0,"programme inconnu",IF(K41=0,"aucune phase","ok")))</f>
        <v/>
      </c>
    </row>
    <row r="42">
      <c r="A42" s="16" t="n"/>
      <c r="B42" s="21" t="n"/>
      <c r="C42" s="16" t="n"/>
      <c r="D42" s="16" t="n"/>
      <c r="E42" s="29" t="n"/>
      <c r="F42" s="16" t="n"/>
      <c r="G42" s="16" t="n"/>
      <c r="H42" s="16" t="n"/>
      <c r="I42" s="29" t="n"/>
      <c r="J42" s="29" t="n"/>
      <c r="K42" s="26">
        <f>IF(A42="","",SUMPRODUCT((Phases!$A$3:$A$900=A42)*(Phases!$B$3:$B$900=B42)*(Phases!$C$3:$C$900=C42)))</f>
        <v/>
      </c>
      <c r="L42" s="28">
        <f>IF(A42="","",IF(COUNTIF(Programmes!$A$3:$A$60,A42)=0,"programme inconnu",IF(K42=0,"aucune phase","ok")))</f>
        <v/>
      </c>
    </row>
    <row r="43">
      <c r="A43" s="16" t="n"/>
      <c r="B43" s="21" t="n"/>
      <c r="C43" s="16" t="n"/>
      <c r="D43" s="16" t="n"/>
      <c r="E43" s="29" t="n"/>
      <c r="F43" s="16" t="n"/>
      <c r="G43" s="16" t="n"/>
      <c r="H43" s="16" t="n"/>
      <c r="I43" s="29" t="n"/>
      <c r="J43" s="29" t="n"/>
      <c r="K43" s="26">
        <f>IF(A43="","",SUMPRODUCT((Phases!$A$3:$A$900=A43)*(Phases!$B$3:$B$900=B43)*(Phases!$C$3:$C$900=C43)))</f>
        <v/>
      </c>
      <c r="L43" s="28">
        <f>IF(A43="","",IF(COUNTIF(Programmes!$A$3:$A$60,A43)=0,"programme inconnu",IF(K43=0,"aucune phase","ok")))</f>
        <v/>
      </c>
    </row>
    <row r="44">
      <c r="A44" s="16" t="n"/>
      <c r="B44" s="21" t="n"/>
      <c r="C44" s="16" t="n"/>
      <c r="D44" s="16" t="n"/>
      <c r="E44" s="29" t="n"/>
      <c r="F44" s="16" t="n"/>
      <c r="G44" s="16" t="n"/>
      <c r="H44" s="16" t="n"/>
      <c r="I44" s="29" t="n"/>
      <c r="J44" s="29" t="n"/>
      <c r="K44" s="26">
        <f>IF(A44="","",SUMPRODUCT((Phases!$A$3:$A$900=A44)*(Phases!$B$3:$B$900=B44)*(Phases!$C$3:$C$900=C44)))</f>
        <v/>
      </c>
      <c r="L44" s="28">
        <f>IF(A44="","",IF(COUNTIF(Programmes!$A$3:$A$60,A44)=0,"programme inconnu",IF(K44=0,"aucune phase","ok")))</f>
        <v/>
      </c>
    </row>
    <row r="45">
      <c r="A45" s="16" t="n"/>
      <c r="B45" s="21" t="n"/>
      <c r="C45" s="16" t="n"/>
      <c r="D45" s="16" t="n"/>
      <c r="E45" s="29" t="n"/>
      <c r="F45" s="16" t="n"/>
      <c r="G45" s="16" t="n"/>
      <c r="H45" s="16" t="n"/>
      <c r="I45" s="29" t="n"/>
      <c r="J45" s="29" t="n"/>
      <c r="K45" s="26">
        <f>IF(A45="","",SUMPRODUCT((Phases!$A$3:$A$900=A45)*(Phases!$B$3:$B$900=B45)*(Phases!$C$3:$C$900=C45)))</f>
        <v/>
      </c>
      <c r="L45" s="28">
        <f>IF(A45="","",IF(COUNTIF(Programmes!$A$3:$A$60,A45)=0,"programme inconnu",IF(K45=0,"aucune phase","ok")))</f>
        <v/>
      </c>
    </row>
    <row r="46">
      <c r="A46" s="16" t="n"/>
      <c r="B46" s="21" t="n"/>
      <c r="C46" s="16" t="n"/>
      <c r="D46" s="16" t="n"/>
      <c r="E46" s="29" t="n"/>
      <c r="F46" s="16" t="n"/>
      <c r="G46" s="16" t="n"/>
      <c r="H46" s="16" t="n"/>
      <c r="I46" s="29" t="n"/>
      <c r="J46" s="29" t="n"/>
      <c r="K46" s="26">
        <f>IF(A46="","",SUMPRODUCT((Phases!$A$3:$A$900=A46)*(Phases!$B$3:$B$900=B46)*(Phases!$C$3:$C$900=C46)))</f>
        <v/>
      </c>
      <c r="L46" s="28">
        <f>IF(A46="","",IF(COUNTIF(Programmes!$A$3:$A$60,A46)=0,"programme inconnu",IF(K46=0,"aucune phase","ok")))</f>
        <v/>
      </c>
    </row>
    <row r="47">
      <c r="A47" s="16" t="n"/>
      <c r="B47" s="21" t="n"/>
      <c r="C47" s="16" t="n"/>
      <c r="D47" s="16" t="n"/>
      <c r="E47" s="29" t="n"/>
      <c r="F47" s="16" t="n"/>
      <c r="G47" s="16" t="n"/>
      <c r="H47" s="16" t="n"/>
      <c r="I47" s="29" t="n"/>
      <c r="J47" s="29" t="n"/>
      <c r="K47" s="26">
        <f>IF(A47="","",SUMPRODUCT((Phases!$A$3:$A$900=A47)*(Phases!$B$3:$B$900=B47)*(Phases!$C$3:$C$900=C47)))</f>
        <v/>
      </c>
      <c r="L47" s="28">
        <f>IF(A47="","",IF(COUNTIF(Programmes!$A$3:$A$60,A47)=0,"programme inconnu",IF(K47=0,"aucune phase","ok")))</f>
        <v/>
      </c>
    </row>
    <row r="48">
      <c r="A48" s="16" t="n"/>
      <c r="B48" s="21" t="n"/>
      <c r="C48" s="16" t="n"/>
      <c r="D48" s="16" t="n"/>
      <c r="E48" s="29" t="n"/>
      <c r="F48" s="16" t="n"/>
      <c r="G48" s="16" t="n"/>
      <c r="H48" s="16" t="n"/>
      <c r="I48" s="29" t="n"/>
      <c r="J48" s="29" t="n"/>
      <c r="K48" s="26">
        <f>IF(A48="","",SUMPRODUCT((Phases!$A$3:$A$900=A48)*(Phases!$B$3:$B$900=B48)*(Phases!$C$3:$C$900=C48)))</f>
        <v/>
      </c>
      <c r="L48" s="28">
        <f>IF(A48="","",IF(COUNTIF(Programmes!$A$3:$A$60,A48)=0,"programme inconnu",IF(K48=0,"aucune phase","ok")))</f>
        <v/>
      </c>
    </row>
    <row r="49">
      <c r="A49" s="16" t="n"/>
      <c r="B49" s="21" t="n"/>
      <c r="C49" s="16" t="n"/>
      <c r="D49" s="16" t="n"/>
      <c r="E49" s="29" t="n"/>
      <c r="F49" s="16" t="n"/>
      <c r="G49" s="16" t="n"/>
      <c r="H49" s="16" t="n"/>
      <c r="I49" s="29" t="n"/>
      <c r="J49" s="29" t="n"/>
      <c r="K49" s="26">
        <f>IF(A49="","",SUMPRODUCT((Phases!$A$3:$A$900=A49)*(Phases!$B$3:$B$900=B49)*(Phases!$C$3:$C$900=C49)))</f>
        <v/>
      </c>
      <c r="L49" s="28">
        <f>IF(A49="","",IF(COUNTIF(Programmes!$A$3:$A$60,A49)=0,"programme inconnu",IF(K49=0,"aucune phase","ok")))</f>
        <v/>
      </c>
    </row>
    <row r="50">
      <c r="A50" s="16" t="n"/>
      <c r="B50" s="21" t="n"/>
      <c r="C50" s="16" t="n"/>
      <c r="D50" s="16" t="n"/>
      <c r="E50" s="29" t="n"/>
      <c r="F50" s="16" t="n"/>
      <c r="G50" s="16" t="n"/>
      <c r="H50" s="16" t="n"/>
      <c r="I50" s="29" t="n"/>
      <c r="J50" s="29" t="n"/>
      <c r="K50" s="26">
        <f>IF(A50="","",SUMPRODUCT((Phases!$A$3:$A$900=A50)*(Phases!$B$3:$B$900=B50)*(Phases!$C$3:$C$900=C50)))</f>
        <v/>
      </c>
      <c r="L50" s="28">
        <f>IF(A50="","",IF(COUNTIF(Programmes!$A$3:$A$60,A50)=0,"programme inconnu",IF(K50=0,"aucune phase","ok")))</f>
        <v/>
      </c>
    </row>
    <row r="51">
      <c r="A51" s="16" t="n"/>
      <c r="B51" s="21" t="n"/>
      <c r="C51" s="16" t="n"/>
      <c r="D51" s="16" t="n"/>
      <c r="E51" s="29" t="n"/>
      <c r="F51" s="16" t="n"/>
      <c r="G51" s="16" t="n"/>
      <c r="H51" s="16" t="n"/>
      <c r="I51" s="29" t="n"/>
      <c r="J51" s="29" t="n"/>
      <c r="K51" s="26">
        <f>IF(A51="","",SUMPRODUCT((Phases!$A$3:$A$900=A51)*(Phases!$B$3:$B$900=B51)*(Phases!$C$3:$C$900=C51)))</f>
        <v/>
      </c>
      <c r="L51" s="28">
        <f>IF(A51="","",IF(COUNTIF(Programmes!$A$3:$A$60,A51)=0,"programme inconnu",IF(K51=0,"aucune phase","ok")))</f>
        <v/>
      </c>
    </row>
    <row r="52">
      <c r="A52" s="16" t="n"/>
      <c r="B52" s="21" t="n"/>
      <c r="C52" s="16" t="n"/>
      <c r="D52" s="16" t="n"/>
      <c r="E52" s="29" t="n"/>
      <c r="F52" s="16" t="n"/>
      <c r="G52" s="16" t="n"/>
      <c r="H52" s="16" t="n"/>
      <c r="I52" s="29" t="n"/>
      <c r="J52" s="29" t="n"/>
      <c r="K52" s="26">
        <f>IF(A52="","",SUMPRODUCT((Phases!$A$3:$A$900=A52)*(Phases!$B$3:$B$900=B52)*(Phases!$C$3:$C$900=C52)))</f>
        <v/>
      </c>
      <c r="L52" s="28">
        <f>IF(A52="","",IF(COUNTIF(Programmes!$A$3:$A$60,A52)=0,"programme inconnu",IF(K52=0,"aucune phase","ok")))</f>
        <v/>
      </c>
    </row>
    <row r="53">
      <c r="A53" s="16" t="n"/>
      <c r="B53" s="21" t="n"/>
      <c r="C53" s="16" t="n"/>
      <c r="D53" s="16" t="n"/>
      <c r="E53" s="29" t="n"/>
      <c r="F53" s="16" t="n"/>
      <c r="G53" s="16" t="n"/>
      <c r="H53" s="16" t="n"/>
      <c r="I53" s="29" t="n"/>
      <c r="J53" s="29" t="n"/>
      <c r="K53" s="26">
        <f>IF(A53="","",SUMPRODUCT((Phases!$A$3:$A$900=A53)*(Phases!$B$3:$B$900=B53)*(Phases!$C$3:$C$900=C53)))</f>
        <v/>
      </c>
      <c r="L53" s="28">
        <f>IF(A53="","",IF(COUNTIF(Programmes!$A$3:$A$60,A53)=0,"programme inconnu",IF(K53=0,"aucune phase","ok")))</f>
        <v/>
      </c>
    </row>
    <row r="54">
      <c r="A54" s="16" t="n"/>
      <c r="B54" s="21" t="n"/>
      <c r="C54" s="16" t="n"/>
      <c r="D54" s="16" t="n"/>
      <c r="E54" s="29" t="n"/>
      <c r="F54" s="16" t="n"/>
      <c r="G54" s="16" t="n"/>
      <c r="H54" s="16" t="n"/>
      <c r="I54" s="29" t="n"/>
      <c r="J54" s="29" t="n"/>
      <c r="K54" s="26">
        <f>IF(A54="","",SUMPRODUCT((Phases!$A$3:$A$900=A54)*(Phases!$B$3:$B$900=B54)*(Phases!$C$3:$C$900=C54)))</f>
        <v/>
      </c>
      <c r="L54" s="28">
        <f>IF(A54="","",IF(COUNTIF(Programmes!$A$3:$A$60,A54)=0,"programme inconnu",IF(K54=0,"aucune phase","ok")))</f>
        <v/>
      </c>
    </row>
    <row r="55">
      <c r="A55" s="16" t="n"/>
      <c r="B55" s="21" t="n"/>
      <c r="C55" s="16" t="n"/>
      <c r="D55" s="16" t="n"/>
      <c r="E55" s="29" t="n"/>
      <c r="F55" s="16" t="n"/>
      <c r="G55" s="16" t="n"/>
      <c r="H55" s="16" t="n"/>
      <c r="I55" s="29" t="n"/>
      <c r="J55" s="29" t="n"/>
      <c r="K55" s="26">
        <f>IF(A55="","",SUMPRODUCT((Phases!$A$3:$A$900=A55)*(Phases!$B$3:$B$900=B55)*(Phases!$C$3:$C$900=C55)))</f>
        <v/>
      </c>
      <c r="L55" s="28">
        <f>IF(A55="","",IF(COUNTIF(Programmes!$A$3:$A$60,A55)=0,"programme inconnu",IF(K55=0,"aucune phase","ok")))</f>
        <v/>
      </c>
    </row>
    <row r="56">
      <c r="A56" s="16" t="n"/>
      <c r="B56" s="21" t="n"/>
      <c r="C56" s="16" t="n"/>
      <c r="D56" s="16" t="n"/>
      <c r="E56" s="29" t="n"/>
      <c r="F56" s="16" t="n"/>
      <c r="G56" s="16" t="n"/>
      <c r="H56" s="16" t="n"/>
      <c r="I56" s="29" t="n"/>
      <c r="J56" s="29" t="n"/>
      <c r="K56" s="26">
        <f>IF(A56="","",SUMPRODUCT((Phases!$A$3:$A$900=A56)*(Phases!$B$3:$B$900=B56)*(Phases!$C$3:$C$900=C56)))</f>
        <v/>
      </c>
      <c r="L56" s="28">
        <f>IF(A56="","",IF(COUNTIF(Programmes!$A$3:$A$60,A56)=0,"programme inconnu",IF(K56=0,"aucune phase","ok")))</f>
        <v/>
      </c>
    </row>
    <row r="57">
      <c r="A57" s="16" t="n"/>
      <c r="B57" s="21" t="n"/>
      <c r="C57" s="16" t="n"/>
      <c r="D57" s="16" t="n"/>
      <c r="E57" s="29" t="n"/>
      <c r="F57" s="16" t="n"/>
      <c r="G57" s="16" t="n"/>
      <c r="H57" s="16" t="n"/>
      <c r="I57" s="29" t="n"/>
      <c r="J57" s="29" t="n"/>
      <c r="K57" s="26">
        <f>IF(A57="","",SUMPRODUCT((Phases!$A$3:$A$900=A57)*(Phases!$B$3:$B$900=B57)*(Phases!$C$3:$C$900=C57)))</f>
        <v/>
      </c>
      <c r="L57" s="28">
        <f>IF(A57="","",IF(COUNTIF(Programmes!$A$3:$A$60,A57)=0,"programme inconnu",IF(K57=0,"aucune phase","ok")))</f>
        <v/>
      </c>
    </row>
    <row r="58">
      <c r="A58" s="16" t="n"/>
      <c r="B58" s="21" t="n"/>
      <c r="C58" s="16" t="n"/>
      <c r="D58" s="16" t="n"/>
      <c r="E58" s="29" t="n"/>
      <c r="F58" s="16" t="n"/>
      <c r="G58" s="16" t="n"/>
      <c r="H58" s="16" t="n"/>
      <c r="I58" s="29" t="n"/>
      <c r="J58" s="29" t="n"/>
      <c r="K58" s="26">
        <f>IF(A58="","",SUMPRODUCT((Phases!$A$3:$A$900=A58)*(Phases!$B$3:$B$900=B58)*(Phases!$C$3:$C$900=C58)))</f>
        <v/>
      </c>
      <c r="L58" s="28">
        <f>IF(A58="","",IF(COUNTIF(Programmes!$A$3:$A$60,A58)=0,"programme inconnu",IF(K58=0,"aucune phase","ok")))</f>
        <v/>
      </c>
    </row>
    <row r="59">
      <c r="A59" s="16" t="n"/>
      <c r="B59" s="21" t="n"/>
      <c r="C59" s="16" t="n"/>
      <c r="D59" s="16" t="n"/>
      <c r="E59" s="29" t="n"/>
      <c r="F59" s="16" t="n"/>
      <c r="G59" s="16" t="n"/>
      <c r="H59" s="16" t="n"/>
      <c r="I59" s="29" t="n"/>
      <c r="J59" s="29" t="n"/>
      <c r="K59" s="26">
        <f>IF(A59="","",SUMPRODUCT((Phases!$A$3:$A$900=A59)*(Phases!$B$3:$B$900=B59)*(Phases!$C$3:$C$900=C59)))</f>
        <v/>
      </c>
      <c r="L59" s="28">
        <f>IF(A59="","",IF(COUNTIF(Programmes!$A$3:$A$60,A59)=0,"programme inconnu",IF(K59=0,"aucune phase","ok")))</f>
        <v/>
      </c>
    </row>
    <row r="60">
      <c r="A60" s="16" t="n"/>
      <c r="B60" s="21" t="n"/>
      <c r="C60" s="16" t="n"/>
      <c r="D60" s="16" t="n"/>
      <c r="E60" s="29" t="n"/>
      <c r="F60" s="16" t="n"/>
      <c r="G60" s="16" t="n"/>
      <c r="H60" s="16" t="n"/>
      <c r="I60" s="29" t="n"/>
      <c r="J60" s="29" t="n"/>
      <c r="K60" s="26">
        <f>IF(A60="","",SUMPRODUCT((Phases!$A$3:$A$900=A60)*(Phases!$B$3:$B$900=B60)*(Phases!$C$3:$C$900=C60)))</f>
        <v/>
      </c>
      <c r="L60" s="28">
        <f>IF(A60="","",IF(COUNTIF(Programmes!$A$3:$A$60,A60)=0,"programme inconnu",IF(K60=0,"aucune phase","ok")))</f>
        <v/>
      </c>
    </row>
    <row r="61">
      <c r="A61" s="16" t="n"/>
      <c r="B61" s="21" t="n"/>
      <c r="C61" s="16" t="n"/>
      <c r="D61" s="16" t="n"/>
      <c r="E61" s="29" t="n"/>
      <c r="F61" s="16" t="n"/>
      <c r="G61" s="16" t="n"/>
      <c r="H61" s="16" t="n"/>
      <c r="I61" s="29" t="n"/>
      <c r="J61" s="29" t="n"/>
      <c r="K61" s="26">
        <f>IF(A61="","",SUMPRODUCT((Phases!$A$3:$A$900=A61)*(Phases!$B$3:$B$900=B61)*(Phases!$C$3:$C$900=C61)))</f>
        <v/>
      </c>
      <c r="L61" s="28">
        <f>IF(A61="","",IF(COUNTIF(Programmes!$A$3:$A$60,A61)=0,"programme inconnu",IF(K61=0,"aucune phase","ok")))</f>
        <v/>
      </c>
    </row>
    <row r="62">
      <c r="A62" s="16" t="n"/>
      <c r="B62" s="21" t="n"/>
      <c r="C62" s="16" t="n"/>
      <c r="D62" s="16" t="n"/>
      <c r="E62" s="29" t="n"/>
      <c r="F62" s="16" t="n"/>
      <c r="G62" s="16" t="n"/>
      <c r="H62" s="16" t="n"/>
      <c r="I62" s="29" t="n"/>
      <c r="J62" s="29" t="n"/>
      <c r="K62" s="26">
        <f>IF(A62="","",SUMPRODUCT((Phases!$A$3:$A$900=A62)*(Phases!$B$3:$B$900=B62)*(Phases!$C$3:$C$900=C62)))</f>
        <v/>
      </c>
      <c r="L62" s="28">
        <f>IF(A62="","",IF(COUNTIF(Programmes!$A$3:$A$60,A62)=0,"programme inconnu",IF(K62=0,"aucune phase","ok")))</f>
        <v/>
      </c>
    </row>
    <row r="63">
      <c r="A63" s="16" t="n"/>
      <c r="B63" s="21" t="n"/>
      <c r="C63" s="16" t="n"/>
      <c r="D63" s="16" t="n"/>
      <c r="E63" s="29" t="n"/>
      <c r="F63" s="16" t="n"/>
      <c r="G63" s="16" t="n"/>
      <c r="H63" s="16" t="n"/>
      <c r="I63" s="29" t="n"/>
      <c r="J63" s="29" t="n"/>
      <c r="K63" s="26">
        <f>IF(A63="","",SUMPRODUCT((Phases!$A$3:$A$900=A63)*(Phases!$B$3:$B$900=B63)*(Phases!$C$3:$C$900=C63)))</f>
        <v/>
      </c>
      <c r="L63" s="28">
        <f>IF(A63="","",IF(COUNTIF(Programmes!$A$3:$A$60,A63)=0,"programme inconnu",IF(K63=0,"aucune phase","ok")))</f>
        <v/>
      </c>
    </row>
    <row r="64">
      <c r="A64" s="16" t="n"/>
      <c r="B64" s="21" t="n"/>
      <c r="C64" s="16" t="n"/>
      <c r="D64" s="16" t="n"/>
      <c r="E64" s="29" t="n"/>
      <c r="F64" s="16" t="n"/>
      <c r="G64" s="16" t="n"/>
      <c r="H64" s="16" t="n"/>
      <c r="I64" s="29" t="n"/>
      <c r="J64" s="29" t="n"/>
      <c r="K64" s="26">
        <f>IF(A64="","",SUMPRODUCT((Phases!$A$3:$A$900=A64)*(Phases!$B$3:$B$900=B64)*(Phases!$C$3:$C$900=C64)))</f>
        <v/>
      </c>
      <c r="L64" s="28">
        <f>IF(A64="","",IF(COUNTIF(Programmes!$A$3:$A$60,A64)=0,"programme inconnu",IF(K64=0,"aucune phase","ok")))</f>
        <v/>
      </c>
    </row>
    <row r="65">
      <c r="A65" s="16" t="n"/>
      <c r="B65" s="21" t="n"/>
      <c r="C65" s="16" t="n"/>
      <c r="D65" s="16" t="n"/>
      <c r="E65" s="29" t="n"/>
      <c r="F65" s="16" t="n"/>
      <c r="G65" s="16" t="n"/>
      <c r="H65" s="16" t="n"/>
      <c r="I65" s="29" t="n"/>
      <c r="J65" s="29" t="n"/>
      <c r="K65" s="26">
        <f>IF(A65="","",SUMPRODUCT((Phases!$A$3:$A$900=A65)*(Phases!$B$3:$B$900=B65)*(Phases!$C$3:$C$900=C65)))</f>
        <v/>
      </c>
      <c r="L65" s="28">
        <f>IF(A65="","",IF(COUNTIF(Programmes!$A$3:$A$60,A65)=0,"programme inconnu",IF(K65=0,"aucune phase","ok")))</f>
        <v/>
      </c>
    </row>
    <row r="66">
      <c r="A66" s="16" t="n"/>
      <c r="B66" s="21" t="n"/>
      <c r="C66" s="16" t="n"/>
      <c r="D66" s="16" t="n"/>
      <c r="E66" s="29" t="n"/>
      <c r="F66" s="16" t="n"/>
      <c r="G66" s="16" t="n"/>
      <c r="H66" s="16" t="n"/>
      <c r="I66" s="29" t="n"/>
      <c r="J66" s="29" t="n"/>
      <c r="K66" s="26">
        <f>IF(A66="","",SUMPRODUCT((Phases!$A$3:$A$900=A66)*(Phases!$B$3:$B$900=B66)*(Phases!$C$3:$C$900=C66)))</f>
        <v/>
      </c>
      <c r="L66" s="28">
        <f>IF(A66="","",IF(COUNTIF(Programmes!$A$3:$A$60,A66)=0,"programme inconnu",IF(K66=0,"aucune phase","ok")))</f>
        <v/>
      </c>
    </row>
    <row r="67">
      <c r="A67" s="16" t="n"/>
      <c r="B67" s="21" t="n"/>
      <c r="C67" s="16" t="n"/>
      <c r="D67" s="16" t="n"/>
      <c r="E67" s="29" t="n"/>
      <c r="F67" s="16" t="n"/>
      <c r="G67" s="16" t="n"/>
      <c r="H67" s="16" t="n"/>
      <c r="I67" s="29" t="n"/>
      <c r="J67" s="29" t="n"/>
      <c r="K67" s="26">
        <f>IF(A67="","",SUMPRODUCT((Phases!$A$3:$A$900=A67)*(Phases!$B$3:$B$900=B67)*(Phases!$C$3:$C$900=C67)))</f>
        <v/>
      </c>
      <c r="L67" s="28">
        <f>IF(A67="","",IF(COUNTIF(Programmes!$A$3:$A$60,A67)=0,"programme inconnu",IF(K67=0,"aucune phase","ok")))</f>
        <v/>
      </c>
    </row>
    <row r="68">
      <c r="A68" s="16" t="n"/>
      <c r="B68" s="21" t="n"/>
      <c r="C68" s="16" t="n"/>
      <c r="D68" s="16" t="n"/>
      <c r="E68" s="29" t="n"/>
      <c r="F68" s="16" t="n"/>
      <c r="G68" s="16" t="n"/>
      <c r="H68" s="16" t="n"/>
      <c r="I68" s="29" t="n"/>
      <c r="J68" s="29" t="n"/>
      <c r="K68" s="26">
        <f>IF(A68="","",SUMPRODUCT((Phases!$A$3:$A$900=A68)*(Phases!$B$3:$B$900=B68)*(Phases!$C$3:$C$900=C68)))</f>
        <v/>
      </c>
      <c r="L68" s="28">
        <f>IF(A68="","",IF(COUNTIF(Programmes!$A$3:$A$60,A68)=0,"programme inconnu",IF(K68=0,"aucune phase","ok")))</f>
        <v/>
      </c>
    </row>
    <row r="69">
      <c r="A69" s="16" t="n"/>
      <c r="B69" s="21" t="n"/>
      <c r="C69" s="16" t="n"/>
      <c r="D69" s="16" t="n"/>
      <c r="E69" s="29" t="n"/>
      <c r="F69" s="16" t="n"/>
      <c r="G69" s="16" t="n"/>
      <c r="H69" s="16" t="n"/>
      <c r="I69" s="29" t="n"/>
      <c r="J69" s="29" t="n"/>
      <c r="K69" s="26">
        <f>IF(A69="","",SUMPRODUCT((Phases!$A$3:$A$900=A69)*(Phases!$B$3:$B$900=B69)*(Phases!$C$3:$C$900=C69)))</f>
        <v/>
      </c>
      <c r="L69" s="28">
        <f>IF(A69="","",IF(COUNTIF(Programmes!$A$3:$A$60,A69)=0,"programme inconnu",IF(K69=0,"aucune phase","ok")))</f>
        <v/>
      </c>
    </row>
    <row r="70">
      <c r="A70" s="16" t="n"/>
      <c r="B70" s="21" t="n"/>
      <c r="C70" s="16" t="n"/>
      <c r="D70" s="16" t="n"/>
      <c r="E70" s="29" t="n"/>
      <c r="F70" s="16" t="n"/>
      <c r="G70" s="16" t="n"/>
      <c r="H70" s="16" t="n"/>
      <c r="I70" s="29" t="n"/>
      <c r="J70" s="29" t="n"/>
      <c r="K70" s="26">
        <f>IF(A70="","",SUMPRODUCT((Phases!$A$3:$A$900=A70)*(Phases!$B$3:$B$900=B70)*(Phases!$C$3:$C$900=C70)))</f>
        <v/>
      </c>
      <c r="L70" s="28">
        <f>IF(A70="","",IF(COUNTIF(Programmes!$A$3:$A$60,A70)=0,"programme inconnu",IF(K70=0,"aucune phase","ok")))</f>
        <v/>
      </c>
    </row>
    <row r="71">
      <c r="A71" s="16" t="n"/>
      <c r="B71" s="21" t="n"/>
      <c r="C71" s="16" t="n"/>
      <c r="D71" s="16" t="n"/>
      <c r="E71" s="29" t="n"/>
      <c r="F71" s="16" t="n"/>
      <c r="G71" s="16" t="n"/>
      <c r="H71" s="16" t="n"/>
      <c r="I71" s="29" t="n"/>
      <c r="J71" s="29" t="n"/>
      <c r="K71" s="26">
        <f>IF(A71="","",SUMPRODUCT((Phases!$A$3:$A$900=A71)*(Phases!$B$3:$B$900=B71)*(Phases!$C$3:$C$900=C71)))</f>
        <v/>
      </c>
      <c r="L71" s="28">
        <f>IF(A71="","",IF(COUNTIF(Programmes!$A$3:$A$60,A71)=0,"programme inconnu",IF(K71=0,"aucune phase","ok")))</f>
        <v/>
      </c>
    </row>
    <row r="72">
      <c r="A72" s="16" t="n"/>
      <c r="B72" s="21" t="n"/>
      <c r="C72" s="16" t="n"/>
      <c r="D72" s="16" t="n"/>
      <c r="E72" s="29" t="n"/>
      <c r="F72" s="16" t="n"/>
      <c r="G72" s="16" t="n"/>
      <c r="H72" s="16" t="n"/>
      <c r="I72" s="29" t="n"/>
      <c r="J72" s="29" t="n"/>
      <c r="K72" s="26">
        <f>IF(A72="","",SUMPRODUCT((Phases!$A$3:$A$900=A72)*(Phases!$B$3:$B$900=B72)*(Phases!$C$3:$C$900=C72)))</f>
        <v/>
      </c>
      <c r="L72" s="28">
        <f>IF(A72="","",IF(COUNTIF(Programmes!$A$3:$A$60,A72)=0,"programme inconnu",IF(K72=0,"aucune phase","ok")))</f>
        <v/>
      </c>
    </row>
    <row r="73">
      <c r="A73" s="16" t="n"/>
      <c r="B73" s="21" t="n"/>
      <c r="C73" s="16" t="n"/>
      <c r="D73" s="16" t="n"/>
      <c r="E73" s="29" t="n"/>
      <c r="F73" s="16" t="n"/>
      <c r="G73" s="16" t="n"/>
      <c r="H73" s="16" t="n"/>
      <c r="I73" s="29" t="n"/>
      <c r="J73" s="29" t="n"/>
      <c r="K73" s="26">
        <f>IF(A73="","",SUMPRODUCT((Phases!$A$3:$A$900=A73)*(Phases!$B$3:$B$900=B73)*(Phases!$C$3:$C$900=C73)))</f>
        <v/>
      </c>
      <c r="L73" s="28">
        <f>IF(A73="","",IF(COUNTIF(Programmes!$A$3:$A$60,A73)=0,"programme inconnu",IF(K73=0,"aucune phase","ok")))</f>
        <v/>
      </c>
    </row>
    <row r="74">
      <c r="A74" s="16" t="n"/>
      <c r="B74" s="21" t="n"/>
      <c r="C74" s="16" t="n"/>
      <c r="D74" s="16" t="n"/>
      <c r="E74" s="29" t="n"/>
      <c r="F74" s="16" t="n"/>
      <c r="G74" s="16" t="n"/>
      <c r="H74" s="16" t="n"/>
      <c r="I74" s="29" t="n"/>
      <c r="J74" s="29" t="n"/>
      <c r="K74" s="26">
        <f>IF(A74="","",SUMPRODUCT((Phases!$A$3:$A$900=A74)*(Phases!$B$3:$B$900=B74)*(Phases!$C$3:$C$900=C74)))</f>
        <v/>
      </c>
      <c r="L74" s="28">
        <f>IF(A74="","",IF(COUNTIF(Programmes!$A$3:$A$60,A74)=0,"programme inconnu",IF(K74=0,"aucune phase","ok")))</f>
        <v/>
      </c>
    </row>
    <row r="75">
      <c r="A75" s="16" t="n"/>
      <c r="B75" s="21" t="n"/>
      <c r="C75" s="16" t="n"/>
      <c r="D75" s="16" t="n"/>
      <c r="E75" s="29" t="n"/>
      <c r="F75" s="16" t="n"/>
      <c r="G75" s="16" t="n"/>
      <c r="H75" s="16" t="n"/>
      <c r="I75" s="29" t="n"/>
      <c r="J75" s="29" t="n"/>
      <c r="K75" s="26">
        <f>IF(A75="","",SUMPRODUCT((Phases!$A$3:$A$900=A75)*(Phases!$B$3:$B$900=B75)*(Phases!$C$3:$C$900=C75)))</f>
        <v/>
      </c>
      <c r="L75" s="28">
        <f>IF(A75="","",IF(COUNTIF(Programmes!$A$3:$A$60,A75)=0,"programme inconnu",IF(K75=0,"aucune phase","ok")))</f>
        <v/>
      </c>
    </row>
    <row r="76">
      <c r="A76" s="16" t="n"/>
      <c r="B76" s="21" t="n"/>
      <c r="C76" s="16" t="n"/>
      <c r="D76" s="16" t="n"/>
      <c r="E76" s="29" t="n"/>
      <c r="F76" s="16" t="n"/>
      <c r="G76" s="16" t="n"/>
      <c r="H76" s="16" t="n"/>
      <c r="I76" s="29" t="n"/>
      <c r="J76" s="29" t="n"/>
      <c r="K76" s="26">
        <f>IF(A76="","",SUMPRODUCT((Phases!$A$3:$A$900=A76)*(Phases!$B$3:$B$900=B76)*(Phases!$C$3:$C$900=C76)))</f>
        <v/>
      </c>
      <c r="L76" s="28">
        <f>IF(A76="","",IF(COUNTIF(Programmes!$A$3:$A$60,A76)=0,"programme inconnu",IF(K76=0,"aucune phase","ok")))</f>
        <v/>
      </c>
    </row>
    <row r="77">
      <c r="A77" s="16" t="n"/>
      <c r="B77" s="21" t="n"/>
      <c r="C77" s="16" t="n"/>
      <c r="D77" s="16" t="n"/>
      <c r="E77" s="29" t="n"/>
      <c r="F77" s="16" t="n"/>
      <c r="G77" s="16" t="n"/>
      <c r="H77" s="16" t="n"/>
      <c r="I77" s="29" t="n"/>
      <c r="J77" s="29" t="n"/>
      <c r="K77" s="26">
        <f>IF(A77="","",SUMPRODUCT((Phases!$A$3:$A$900=A77)*(Phases!$B$3:$B$900=B77)*(Phases!$C$3:$C$900=C77)))</f>
        <v/>
      </c>
      <c r="L77" s="28">
        <f>IF(A77="","",IF(COUNTIF(Programmes!$A$3:$A$60,A77)=0,"programme inconnu",IF(K77=0,"aucune phase","ok")))</f>
        <v/>
      </c>
    </row>
    <row r="78">
      <c r="A78" s="16" t="n"/>
      <c r="B78" s="21" t="n"/>
      <c r="C78" s="16" t="n"/>
      <c r="D78" s="16" t="n"/>
      <c r="E78" s="29" t="n"/>
      <c r="F78" s="16" t="n"/>
      <c r="G78" s="16" t="n"/>
      <c r="H78" s="16" t="n"/>
      <c r="I78" s="29" t="n"/>
      <c r="J78" s="29" t="n"/>
      <c r="K78" s="26">
        <f>IF(A78="","",SUMPRODUCT((Phases!$A$3:$A$900=A78)*(Phases!$B$3:$B$900=B78)*(Phases!$C$3:$C$900=C78)))</f>
        <v/>
      </c>
      <c r="L78" s="28">
        <f>IF(A78="","",IF(COUNTIF(Programmes!$A$3:$A$60,A78)=0,"programme inconnu",IF(K78=0,"aucune phase","ok")))</f>
        <v/>
      </c>
    </row>
    <row r="79">
      <c r="A79" s="16" t="n"/>
      <c r="B79" s="21" t="n"/>
      <c r="C79" s="16" t="n"/>
      <c r="D79" s="16" t="n"/>
      <c r="E79" s="29" t="n"/>
      <c r="F79" s="16" t="n"/>
      <c r="G79" s="16" t="n"/>
      <c r="H79" s="16" t="n"/>
      <c r="I79" s="29" t="n"/>
      <c r="J79" s="29" t="n"/>
      <c r="K79" s="26">
        <f>IF(A79="","",SUMPRODUCT((Phases!$A$3:$A$900=A79)*(Phases!$B$3:$B$900=B79)*(Phases!$C$3:$C$900=C79)))</f>
        <v/>
      </c>
      <c r="L79" s="28">
        <f>IF(A79="","",IF(COUNTIF(Programmes!$A$3:$A$60,A79)=0,"programme inconnu",IF(K79=0,"aucune phase","ok")))</f>
        <v/>
      </c>
    </row>
    <row r="80">
      <c r="A80" s="16" t="n"/>
      <c r="B80" s="21" t="n"/>
      <c r="C80" s="16" t="n"/>
      <c r="D80" s="16" t="n"/>
      <c r="E80" s="29" t="n"/>
      <c r="F80" s="16" t="n"/>
      <c r="G80" s="16" t="n"/>
      <c r="H80" s="16" t="n"/>
      <c r="I80" s="29" t="n"/>
      <c r="J80" s="29" t="n"/>
      <c r="K80" s="26">
        <f>IF(A80="","",SUMPRODUCT((Phases!$A$3:$A$900=A80)*(Phases!$B$3:$B$900=B80)*(Phases!$C$3:$C$900=C80)))</f>
        <v/>
      </c>
      <c r="L80" s="28">
        <f>IF(A80="","",IF(COUNTIF(Programmes!$A$3:$A$60,A80)=0,"programme inconnu",IF(K80=0,"aucune phase","ok")))</f>
        <v/>
      </c>
    </row>
    <row r="81">
      <c r="A81" s="16" t="n"/>
      <c r="B81" s="21" t="n"/>
      <c r="C81" s="16" t="n"/>
      <c r="D81" s="16" t="n"/>
      <c r="E81" s="29" t="n"/>
      <c r="F81" s="16" t="n"/>
      <c r="G81" s="16" t="n"/>
      <c r="H81" s="16" t="n"/>
      <c r="I81" s="29" t="n"/>
      <c r="J81" s="29" t="n"/>
      <c r="K81" s="26">
        <f>IF(A81="","",SUMPRODUCT((Phases!$A$3:$A$900=A81)*(Phases!$B$3:$B$900=B81)*(Phases!$C$3:$C$900=C81)))</f>
        <v/>
      </c>
      <c r="L81" s="28">
        <f>IF(A81="","",IF(COUNTIF(Programmes!$A$3:$A$60,A81)=0,"programme inconnu",IF(K81=0,"aucune phase","ok")))</f>
        <v/>
      </c>
    </row>
    <row r="82">
      <c r="A82" s="16" t="n"/>
      <c r="B82" s="21" t="n"/>
      <c r="C82" s="16" t="n"/>
      <c r="D82" s="16" t="n"/>
      <c r="E82" s="29" t="n"/>
      <c r="F82" s="16" t="n"/>
      <c r="G82" s="16" t="n"/>
      <c r="H82" s="16" t="n"/>
      <c r="I82" s="29" t="n"/>
      <c r="J82" s="29" t="n"/>
      <c r="K82" s="26">
        <f>IF(A82="","",SUMPRODUCT((Phases!$A$3:$A$900=A82)*(Phases!$B$3:$B$900=B82)*(Phases!$C$3:$C$900=C82)))</f>
        <v/>
      </c>
      <c r="L82" s="28">
        <f>IF(A82="","",IF(COUNTIF(Programmes!$A$3:$A$60,A82)=0,"programme inconnu",IF(K82=0,"aucune phase","ok")))</f>
        <v/>
      </c>
    </row>
    <row r="83">
      <c r="A83" s="16" t="n"/>
      <c r="B83" s="21" t="n"/>
      <c r="C83" s="16" t="n"/>
      <c r="D83" s="16" t="n"/>
      <c r="E83" s="29" t="n"/>
      <c r="F83" s="16" t="n"/>
      <c r="G83" s="16" t="n"/>
      <c r="H83" s="16" t="n"/>
      <c r="I83" s="29" t="n"/>
      <c r="J83" s="29" t="n"/>
      <c r="K83" s="26">
        <f>IF(A83="","",SUMPRODUCT((Phases!$A$3:$A$900=A83)*(Phases!$B$3:$B$900=B83)*(Phases!$C$3:$C$900=C83)))</f>
        <v/>
      </c>
      <c r="L83" s="28">
        <f>IF(A83="","",IF(COUNTIF(Programmes!$A$3:$A$60,A83)=0,"programme inconnu",IF(K83=0,"aucune phase","ok")))</f>
        <v/>
      </c>
    </row>
    <row r="84">
      <c r="A84" s="16" t="n"/>
      <c r="B84" s="21" t="n"/>
      <c r="C84" s="16" t="n"/>
      <c r="D84" s="16" t="n"/>
      <c r="E84" s="29" t="n"/>
      <c r="F84" s="16" t="n"/>
      <c r="G84" s="16" t="n"/>
      <c r="H84" s="16" t="n"/>
      <c r="I84" s="29" t="n"/>
      <c r="J84" s="29" t="n"/>
      <c r="K84" s="26">
        <f>IF(A84="","",SUMPRODUCT((Phases!$A$3:$A$900=A84)*(Phases!$B$3:$B$900=B84)*(Phases!$C$3:$C$900=C84)))</f>
        <v/>
      </c>
      <c r="L84" s="28">
        <f>IF(A84="","",IF(COUNTIF(Programmes!$A$3:$A$60,A84)=0,"programme inconnu",IF(K84=0,"aucune phase","ok")))</f>
        <v/>
      </c>
    </row>
    <row r="85">
      <c r="A85" s="16" t="n"/>
      <c r="B85" s="21" t="n"/>
      <c r="C85" s="16" t="n"/>
      <c r="D85" s="16" t="n"/>
      <c r="E85" s="29" t="n"/>
      <c r="F85" s="16" t="n"/>
      <c r="G85" s="16" t="n"/>
      <c r="H85" s="16" t="n"/>
      <c r="I85" s="29" t="n"/>
      <c r="J85" s="29" t="n"/>
      <c r="K85" s="26">
        <f>IF(A85="","",SUMPRODUCT((Phases!$A$3:$A$900=A85)*(Phases!$B$3:$B$900=B85)*(Phases!$C$3:$C$900=C85)))</f>
        <v/>
      </c>
      <c r="L85" s="28">
        <f>IF(A85="","",IF(COUNTIF(Programmes!$A$3:$A$60,A85)=0,"programme inconnu",IF(K85=0,"aucune phase","ok")))</f>
        <v/>
      </c>
    </row>
    <row r="86">
      <c r="A86" s="16" t="n"/>
      <c r="B86" s="21" t="n"/>
      <c r="C86" s="16" t="n"/>
      <c r="D86" s="16" t="n"/>
      <c r="E86" s="29" t="n"/>
      <c r="F86" s="16" t="n"/>
      <c r="G86" s="16" t="n"/>
      <c r="H86" s="16" t="n"/>
      <c r="I86" s="29" t="n"/>
      <c r="J86" s="29" t="n"/>
      <c r="K86" s="26">
        <f>IF(A86="","",SUMPRODUCT((Phases!$A$3:$A$900=A86)*(Phases!$B$3:$B$900=B86)*(Phases!$C$3:$C$900=C86)))</f>
        <v/>
      </c>
      <c r="L86" s="28">
        <f>IF(A86="","",IF(COUNTIF(Programmes!$A$3:$A$60,A86)=0,"programme inconnu",IF(K86=0,"aucune phase","ok")))</f>
        <v/>
      </c>
    </row>
    <row r="87">
      <c r="A87" s="16" t="n"/>
      <c r="B87" s="21" t="n"/>
      <c r="C87" s="16" t="n"/>
      <c r="D87" s="16" t="n"/>
      <c r="E87" s="29" t="n"/>
      <c r="F87" s="16" t="n"/>
      <c r="G87" s="16" t="n"/>
      <c r="H87" s="16" t="n"/>
      <c r="I87" s="29" t="n"/>
      <c r="J87" s="29" t="n"/>
      <c r="K87" s="26">
        <f>IF(A87="","",SUMPRODUCT((Phases!$A$3:$A$900=A87)*(Phases!$B$3:$B$900=B87)*(Phases!$C$3:$C$900=C87)))</f>
        <v/>
      </c>
      <c r="L87" s="28">
        <f>IF(A87="","",IF(COUNTIF(Programmes!$A$3:$A$60,A87)=0,"programme inconnu",IF(K87=0,"aucune phase","ok")))</f>
        <v/>
      </c>
    </row>
    <row r="88">
      <c r="A88" s="16" t="n"/>
      <c r="B88" s="21" t="n"/>
      <c r="C88" s="16" t="n"/>
      <c r="D88" s="16" t="n"/>
      <c r="E88" s="29" t="n"/>
      <c r="F88" s="16" t="n"/>
      <c r="G88" s="16" t="n"/>
      <c r="H88" s="16" t="n"/>
      <c r="I88" s="29" t="n"/>
      <c r="J88" s="29" t="n"/>
      <c r="K88" s="26">
        <f>IF(A88="","",SUMPRODUCT((Phases!$A$3:$A$900=A88)*(Phases!$B$3:$B$900=B88)*(Phases!$C$3:$C$900=C88)))</f>
        <v/>
      </c>
      <c r="L88" s="28">
        <f>IF(A88="","",IF(COUNTIF(Programmes!$A$3:$A$60,A88)=0,"programme inconnu",IF(K88=0,"aucune phase","ok")))</f>
        <v/>
      </c>
    </row>
    <row r="89">
      <c r="A89" s="16" t="n"/>
      <c r="B89" s="21" t="n"/>
      <c r="C89" s="16" t="n"/>
      <c r="D89" s="16" t="n"/>
      <c r="E89" s="29" t="n"/>
      <c r="F89" s="16" t="n"/>
      <c r="G89" s="16" t="n"/>
      <c r="H89" s="16" t="n"/>
      <c r="I89" s="29" t="n"/>
      <c r="J89" s="29" t="n"/>
      <c r="K89" s="26">
        <f>IF(A89="","",SUMPRODUCT((Phases!$A$3:$A$900=A89)*(Phases!$B$3:$B$900=B89)*(Phases!$C$3:$C$900=C89)))</f>
        <v/>
      </c>
      <c r="L89" s="28">
        <f>IF(A89="","",IF(COUNTIF(Programmes!$A$3:$A$60,A89)=0,"programme inconnu",IF(K89=0,"aucune phase","ok")))</f>
        <v/>
      </c>
    </row>
    <row r="90">
      <c r="A90" s="16" t="n"/>
      <c r="B90" s="21" t="n"/>
      <c r="C90" s="16" t="n"/>
      <c r="D90" s="16" t="n"/>
      <c r="E90" s="29" t="n"/>
      <c r="F90" s="16" t="n"/>
      <c r="G90" s="16" t="n"/>
      <c r="H90" s="16" t="n"/>
      <c r="I90" s="29" t="n"/>
      <c r="J90" s="29" t="n"/>
      <c r="K90" s="26">
        <f>IF(A90="","",SUMPRODUCT((Phases!$A$3:$A$900=A90)*(Phases!$B$3:$B$900=B90)*(Phases!$C$3:$C$900=C90)))</f>
        <v/>
      </c>
      <c r="L90" s="28">
        <f>IF(A90="","",IF(COUNTIF(Programmes!$A$3:$A$60,A90)=0,"programme inconnu",IF(K90=0,"aucune phase","ok")))</f>
        <v/>
      </c>
    </row>
    <row r="91">
      <c r="A91" s="16" t="n"/>
      <c r="B91" s="21" t="n"/>
      <c r="C91" s="16" t="n"/>
      <c r="D91" s="16" t="n"/>
      <c r="E91" s="29" t="n"/>
      <c r="F91" s="16" t="n"/>
      <c r="G91" s="16" t="n"/>
      <c r="H91" s="16" t="n"/>
      <c r="I91" s="29" t="n"/>
      <c r="J91" s="29" t="n"/>
      <c r="K91" s="26">
        <f>IF(A91="","",SUMPRODUCT((Phases!$A$3:$A$900=A91)*(Phases!$B$3:$B$900=B91)*(Phases!$C$3:$C$900=C91)))</f>
        <v/>
      </c>
      <c r="L91" s="28">
        <f>IF(A91="","",IF(COUNTIF(Programmes!$A$3:$A$60,A91)=0,"programme inconnu",IF(K91=0,"aucune phase","ok")))</f>
        <v/>
      </c>
    </row>
    <row r="92">
      <c r="A92" s="16" t="n"/>
      <c r="B92" s="21" t="n"/>
      <c r="C92" s="16" t="n"/>
      <c r="D92" s="16" t="n"/>
      <c r="E92" s="29" t="n"/>
      <c r="F92" s="16" t="n"/>
      <c r="G92" s="16" t="n"/>
      <c r="H92" s="16" t="n"/>
      <c r="I92" s="29" t="n"/>
      <c r="J92" s="29" t="n"/>
      <c r="K92" s="26">
        <f>IF(A92="","",SUMPRODUCT((Phases!$A$3:$A$900=A92)*(Phases!$B$3:$B$900=B92)*(Phases!$C$3:$C$900=C92)))</f>
        <v/>
      </c>
      <c r="L92" s="28">
        <f>IF(A92="","",IF(COUNTIF(Programmes!$A$3:$A$60,A92)=0,"programme inconnu",IF(K92=0,"aucune phase","ok")))</f>
        <v/>
      </c>
    </row>
    <row r="93">
      <c r="A93" s="16" t="n"/>
      <c r="B93" s="21" t="n"/>
      <c r="C93" s="16" t="n"/>
      <c r="D93" s="16" t="n"/>
      <c r="E93" s="29" t="n"/>
      <c r="F93" s="16" t="n"/>
      <c r="G93" s="16" t="n"/>
      <c r="H93" s="16" t="n"/>
      <c r="I93" s="29" t="n"/>
      <c r="J93" s="29" t="n"/>
      <c r="K93" s="26">
        <f>IF(A93="","",SUMPRODUCT((Phases!$A$3:$A$900=A93)*(Phases!$B$3:$B$900=B93)*(Phases!$C$3:$C$900=C93)))</f>
        <v/>
      </c>
      <c r="L93" s="28">
        <f>IF(A93="","",IF(COUNTIF(Programmes!$A$3:$A$60,A93)=0,"programme inconnu",IF(K93=0,"aucune phase","ok")))</f>
        <v/>
      </c>
    </row>
    <row r="94">
      <c r="A94" s="16" t="n"/>
      <c r="B94" s="21" t="n"/>
      <c r="C94" s="16" t="n"/>
      <c r="D94" s="16" t="n"/>
      <c r="E94" s="29" t="n"/>
      <c r="F94" s="16" t="n"/>
      <c r="G94" s="16" t="n"/>
      <c r="H94" s="16" t="n"/>
      <c r="I94" s="29" t="n"/>
      <c r="J94" s="29" t="n"/>
      <c r="K94" s="26">
        <f>IF(A94="","",SUMPRODUCT((Phases!$A$3:$A$900=A94)*(Phases!$B$3:$B$900=B94)*(Phases!$C$3:$C$900=C94)))</f>
        <v/>
      </c>
      <c r="L94" s="28">
        <f>IF(A94="","",IF(COUNTIF(Programmes!$A$3:$A$60,A94)=0,"programme inconnu",IF(K94=0,"aucune phase","ok")))</f>
        <v/>
      </c>
    </row>
    <row r="95">
      <c r="A95" s="16" t="n"/>
      <c r="B95" s="21" t="n"/>
      <c r="C95" s="16" t="n"/>
      <c r="D95" s="16" t="n"/>
      <c r="E95" s="29" t="n"/>
      <c r="F95" s="16" t="n"/>
      <c r="G95" s="16" t="n"/>
      <c r="H95" s="16" t="n"/>
      <c r="I95" s="29" t="n"/>
      <c r="J95" s="29" t="n"/>
      <c r="K95" s="26">
        <f>IF(A95="","",SUMPRODUCT((Phases!$A$3:$A$900=A95)*(Phases!$B$3:$B$900=B95)*(Phases!$C$3:$C$900=C95)))</f>
        <v/>
      </c>
      <c r="L95" s="28">
        <f>IF(A95="","",IF(COUNTIF(Programmes!$A$3:$A$60,A95)=0,"programme inconnu",IF(K95=0,"aucune phase","ok")))</f>
        <v/>
      </c>
    </row>
    <row r="96">
      <c r="A96" s="16" t="n"/>
      <c r="B96" s="21" t="n"/>
      <c r="C96" s="16" t="n"/>
      <c r="D96" s="16" t="n"/>
      <c r="E96" s="29" t="n"/>
      <c r="F96" s="16" t="n"/>
      <c r="G96" s="16" t="n"/>
      <c r="H96" s="16" t="n"/>
      <c r="I96" s="29" t="n"/>
      <c r="J96" s="29" t="n"/>
      <c r="K96" s="26">
        <f>IF(A96="","",SUMPRODUCT((Phases!$A$3:$A$900=A96)*(Phases!$B$3:$B$900=B96)*(Phases!$C$3:$C$900=C96)))</f>
        <v/>
      </c>
      <c r="L96" s="28">
        <f>IF(A96="","",IF(COUNTIF(Programmes!$A$3:$A$60,A96)=0,"programme inconnu",IF(K96=0,"aucune phase","ok")))</f>
        <v/>
      </c>
    </row>
    <row r="97">
      <c r="A97" s="16" t="n"/>
      <c r="B97" s="21" t="n"/>
      <c r="C97" s="16" t="n"/>
      <c r="D97" s="16" t="n"/>
      <c r="E97" s="29" t="n"/>
      <c r="F97" s="16" t="n"/>
      <c r="G97" s="16" t="n"/>
      <c r="H97" s="16" t="n"/>
      <c r="I97" s="29" t="n"/>
      <c r="J97" s="29" t="n"/>
      <c r="K97" s="26">
        <f>IF(A97="","",SUMPRODUCT((Phases!$A$3:$A$900=A97)*(Phases!$B$3:$B$900=B97)*(Phases!$C$3:$C$900=C97)))</f>
        <v/>
      </c>
      <c r="L97" s="28">
        <f>IF(A97="","",IF(COUNTIF(Programmes!$A$3:$A$60,A97)=0,"programme inconnu",IF(K97=0,"aucune phase","ok")))</f>
        <v/>
      </c>
    </row>
    <row r="98">
      <c r="A98" s="16" t="n"/>
      <c r="B98" s="21" t="n"/>
      <c r="C98" s="16" t="n"/>
      <c r="D98" s="16" t="n"/>
      <c r="E98" s="29" t="n"/>
      <c r="F98" s="16" t="n"/>
      <c r="G98" s="16" t="n"/>
      <c r="H98" s="16" t="n"/>
      <c r="I98" s="29" t="n"/>
      <c r="J98" s="29" t="n"/>
      <c r="K98" s="26">
        <f>IF(A98="","",SUMPRODUCT((Phases!$A$3:$A$900=A98)*(Phases!$B$3:$B$900=B98)*(Phases!$C$3:$C$900=C98)))</f>
        <v/>
      </c>
      <c r="L98" s="28">
        <f>IF(A98="","",IF(COUNTIF(Programmes!$A$3:$A$60,A98)=0,"programme inconnu",IF(K98=0,"aucune phase","ok")))</f>
        <v/>
      </c>
    </row>
    <row r="99">
      <c r="A99" s="16" t="n"/>
      <c r="B99" s="21" t="n"/>
      <c r="C99" s="16" t="n"/>
      <c r="D99" s="16" t="n"/>
      <c r="E99" s="29" t="n"/>
      <c r="F99" s="16" t="n"/>
      <c r="G99" s="16" t="n"/>
      <c r="H99" s="16" t="n"/>
      <c r="I99" s="29" t="n"/>
      <c r="J99" s="29" t="n"/>
      <c r="K99" s="26">
        <f>IF(A99="","",SUMPRODUCT((Phases!$A$3:$A$900=A99)*(Phases!$B$3:$B$900=B99)*(Phases!$C$3:$C$900=C99)))</f>
        <v/>
      </c>
      <c r="L99" s="28">
        <f>IF(A99="","",IF(COUNTIF(Programmes!$A$3:$A$60,A99)=0,"programme inconnu",IF(K99=0,"aucune phase","ok")))</f>
        <v/>
      </c>
    </row>
    <row r="100">
      <c r="A100" s="16" t="n"/>
      <c r="B100" s="21" t="n"/>
      <c r="C100" s="16" t="n"/>
      <c r="D100" s="16" t="n"/>
      <c r="E100" s="29" t="n"/>
      <c r="F100" s="16" t="n"/>
      <c r="G100" s="16" t="n"/>
      <c r="H100" s="16" t="n"/>
      <c r="I100" s="29" t="n"/>
      <c r="J100" s="29" t="n"/>
      <c r="K100" s="26">
        <f>IF(A100="","",SUMPRODUCT((Phases!$A$3:$A$900=A100)*(Phases!$B$3:$B$900=B100)*(Phases!$C$3:$C$900=C100)))</f>
        <v/>
      </c>
      <c r="L100" s="28">
        <f>IF(A100="","",IF(COUNTIF(Programmes!$A$3:$A$60,A100)=0,"programme inconnu",IF(K100=0,"aucune phase","ok")))</f>
        <v/>
      </c>
    </row>
    <row r="101">
      <c r="A101" s="16" t="n"/>
      <c r="B101" s="21" t="n"/>
      <c r="C101" s="16" t="n"/>
      <c r="D101" s="16" t="n"/>
      <c r="E101" s="29" t="n"/>
      <c r="F101" s="16" t="n"/>
      <c r="G101" s="16" t="n"/>
      <c r="H101" s="16" t="n"/>
      <c r="I101" s="29" t="n"/>
      <c r="J101" s="29" t="n"/>
      <c r="K101" s="26">
        <f>IF(A101="","",SUMPRODUCT((Phases!$A$3:$A$900=A101)*(Phases!$B$3:$B$900=B101)*(Phases!$C$3:$C$900=C101)))</f>
        <v/>
      </c>
      <c r="L101" s="28">
        <f>IF(A101="","",IF(COUNTIF(Programmes!$A$3:$A$60,A101)=0,"programme inconnu",IF(K101=0,"aucune phase","ok")))</f>
        <v/>
      </c>
    </row>
    <row r="102">
      <c r="A102" s="16" t="n"/>
      <c r="B102" s="21" t="n"/>
      <c r="C102" s="16" t="n"/>
      <c r="D102" s="16" t="n"/>
      <c r="E102" s="29" t="n"/>
      <c r="F102" s="16" t="n"/>
      <c r="G102" s="16" t="n"/>
      <c r="H102" s="16" t="n"/>
      <c r="I102" s="29" t="n"/>
      <c r="J102" s="29" t="n"/>
      <c r="K102" s="26">
        <f>IF(A102="","",SUMPRODUCT((Phases!$A$3:$A$900=A102)*(Phases!$B$3:$B$900=B102)*(Phases!$C$3:$C$900=C102)))</f>
        <v/>
      </c>
      <c r="L102" s="28">
        <f>IF(A102="","",IF(COUNTIF(Programmes!$A$3:$A$60,A102)=0,"programme inconnu",IF(K102=0,"aucune phase","ok")))</f>
        <v/>
      </c>
    </row>
    <row r="103">
      <c r="A103" s="16" t="n"/>
      <c r="B103" s="21" t="n"/>
      <c r="C103" s="16" t="n"/>
      <c r="D103" s="16" t="n"/>
      <c r="E103" s="29" t="n"/>
      <c r="F103" s="16" t="n"/>
      <c r="G103" s="16" t="n"/>
      <c r="H103" s="16" t="n"/>
      <c r="I103" s="29" t="n"/>
      <c r="J103" s="29" t="n"/>
      <c r="K103" s="26">
        <f>IF(A103="","",SUMPRODUCT((Phases!$A$3:$A$900=A103)*(Phases!$B$3:$B$900=B103)*(Phases!$C$3:$C$900=C103)))</f>
        <v/>
      </c>
      <c r="L103" s="28">
        <f>IF(A103="","",IF(COUNTIF(Programmes!$A$3:$A$60,A103)=0,"programme inconnu",IF(K103=0,"aucune phase","ok")))</f>
        <v/>
      </c>
    </row>
    <row r="104">
      <c r="A104" s="16" t="n"/>
      <c r="B104" s="21" t="n"/>
      <c r="C104" s="16" t="n"/>
      <c r="D104" s="16" t="n"/>
      <c r="E104" s="29" t="n"/>
      <c r="F104" s="16" t="n"/>
      <c r="G104" s="16" t="n"/>
      <c r="H104" s="16" t="n"/>
      <c r="I104" s="29" t="n"/>
      <c r="J104" s="29" t="n"/>
      <c r="K104" s="26">
        <f>IF(A104="","",SUMPRODUCT((Phases!$A$3:$A$900=A104)*(Phases!$B$3:$B$900=B104)*(Phases!$C$3:$C$900=C104)))</f>
        <v/>
      </c>
      <c r="L104" s="28">
        <f>IF(A104="","",IF(COUNTIF(Programmes!$A$3:$A$60,A104)=0,"programme inconnu",IF(K104=0,"aucune phase","ok")))</f>
        <v/>
      </c>
    </row>
    <row r="105">
      <c r="A105" s="16" t="n"/>
      <c r="B105" s="21" t="n"/>
      <c r="C105" s="16" t="n"/>
      <c r="D105" s="16" t="n"/>
      <c r="E105" s="29" t="n"/>
      <c r="F105" s="16" t="n"/>
      <c r="G105" s="16" t="n"/>
      <c r="H105" s="16" t="n"/>
      <c r="I105" s="29" t="n"/>
      <c r="J105" s="29" t="n"/>
      <c r="K105" s="26">
        <f>IF(A105="","",SUMPRODUCT((Phases!$A$3:$A$900=A105)*(Phases!$B$3:$B$900=B105)*(Phases!$C$3:$C$900=C105)))</f>
        <v/>
      </c>
      <c r="L105" s="28">
        <f>IF(A105="","",IF(COUNTIF(Programmes!$A$3:$A$60,A105)=0,"programme inconnu",IF(K105=0,"aucune phase","ok")))</f>
        <v/>
      </c>
    </row>
    <row r="106">
      <c r="A106" s="16" t="n"/>
      <c r="B106" s="21" t="n"/>
      <c r="C106" s="16" t="n"/>
      <c r="D106" s="16" t="n"/>
      <c r="E106" s="29" t="n"/>
      <c r="F106" s="16" t="n"/>
      <c r="G106" s="16" t="n"/>
      <c r="H106" s="16" t="n"/>
      <c r="I106" s="29" t="n"/>
      <c r="J106" s="29" t="n"/>
      <c r="K106" s="26">
        <f>IF(A106="","",SUMPRODUCT((Phases!$A$3:$A$900=A106)*(Phases!$B$3:$B$900=B106)*(Phases!$C$3:$C$900=C106)))</f>
        <v/>
      </c>
      <c r="L106" s="28">
        <f>IF(A106="","",IF(COUNTIF(Programmes!$A$3:$A$60,A106)=0,"programme inconnu",IF(K106=0,"aucune phase","ok")))</f>
        <v/>
      </c>
    </row>
    <row r="107">
      <c r="A107" s="16" t="n"/>
      <c r="B107" s="21" t="n"/>
      <c r="C107" s="16" t="n"/>
      <c r="D107" s="16" t="n"/>
      <c r="E107" s="29" t="n"/>
      <c r="F107" s="16" t="n"/>
      <c r="G107" s="16" t="n"/>
      <c r="H107" s="16" t="n"/>
      <c r="I107" s="29" t="n"/>
      <c r="J107" s="29" t="n"/>
      <c r="K107" s="26">
        <f>IF(A107="","",SUMPRODUCT((Phases!$A$3:$A$900=A107)*(Phases!$B$3:$B$900=B107)*(Phases!$C$3:$C$900=C107)))</f>
        <v/>
      </c>
      <c r="L107" s="28">
        <f>IF(A107="","",IF(COUNTIF(Programmes!$A$3:$A$60,A107)=0,"programme inconnu",IF(K107=0,"aucune phase","ok")))</f>
        <v/>
      </c>
    </row>
    <row r="108">
      <c r="A108" s="16" t="n"/>
      <c r="B108" s="21" t="n"/>
      <c r="C108" s="16" t="n"/>
      <c r="D108" s="16" t="n"/>
      <c r="E108" s="29" t="n"/>
      <c r="F108" s="16" t="n"/>
      <c r="G108" s="16" t="n"/>
      <c r="H108" s="16" t="n"/>
      <c r="I108" s="29" t="n"/>
      <c r="J108" s="29" t="n"/>
      <c r="K108" s="26">
        <f>IF(A108="","",SUMPRODUCT((Phases!$A$3:$A$900=A108)*(Phases!$B$3:$B$900=B108)*(Phases!$C$3:$C$900=C108)))</f>
        <v/>
      </c>
      <c r="L108" s="28">
        <f>IF(A108="","",IF(COUNTIF(Programmes!$A$3:$A$60,A108)=0,"programme inconnu",IF(K108=0,"aucune phase","ok")))</f>
        <v/>
      </c>
    </row>
    <row r="109">
      <c r="A109" s="16" t="n"/>
      <c r="B109" s="21" t="n"/>
      <c r="C109" s="16" t="n"/>
      <c r="D109" s="16" t="n"/>
      <c r="E109" s="29" t="n"/>
      <c r="F109" s="16" t="n"/>
      <c r="G109" s="16" t="n"/>
      <c r="H109" s="16" t="n"/>
      <c r="I109" s="29" t="n"/>
      <c r="J109" s="29" t="n"/>
      <c r="K109" s="26">
        <f>IF(A109="","",SUMPRODUCT((Phases!$A$3:$A$900=A109)*(Phases!$B$3:$B$900=B109)*(Phases!$C$3:$C$900=C109)))</f>
        <v/>
      </c>
      <c r="L109" s="28">
        <f>IF(A109="","",IF(COUNTIF(Programmes!$A$3:$A$60,A109)=0,"programme inconnu",IF(K109=0,"aucune phase","ok")))</f>
        <v/>
      </c>
    </row>
    <row r="110">
      <c r="A110" s="16" t="n"/>
      <c r="B110" s="21" t="n"/>
      <c r="C110" s="16" t="n"/>
      <c r="D110" s="16" t="n"/>
      <c r="E110" s="29" t="n"/>
      <c r="F110" s="16" t="n"/>
      <c r="G110" s="16" t="n"/>
      <c r="H110" s="16" t="n"/>
      <c r="I110" s="29" t="n"/>
      <c r="J110" s="29" t="n"/>
      <c r="K110" s="26">
        <f>IF(A110="","",SUMPRODUCT((Phases!$A$3:$A$900=A110)*(Phases!$B$3:$B$900=B110)*(Phases!$C$3:$C$900=C110)))</f>
        <v/>
      </c>
      <c r="L110" s="28">
        <f>IF(A110="","",IF(COUNTIF(Programmes!$A$3:$A$60,A110)=0,"programme inconnu",IF(K110=0,"aucune phase","ok")))</f>
        <v/>
      </c>
    </row>
    <row r="111">
      <c r="A111" s="16" t="n"/>
      <c r="B111" s="21" t="n"/>
      <c r="C111" s="16" t="n"/>
      <c r="D111" s="16" t="n"/>
      <c r="E111" s="29" t="n"/>
      <c r="F111" s="16" t="n"/>
      <c r="G111" s="16" t="n"/>
      <c r="H111" s="16" t="n"/>
      <c r="I111" s="29" t="n"/>
      <c r="J111" s="29" t="n"/>
      <c r="K111" s="26">
        <f>IF(A111="","",SUMPRODUCT((Phases!$A$3:$A$900=A111)*(Phases!$B$3:$B$900=B111)*(Phases!$C$3:$C$900=C111)))</f>
        <v/>
      </c>
      <c r="L111" s="28">
        <f>IF(A111="","",IF(COUNTIF(Programmes!$A$3:$A$60,A111)=0,"programme inconnu",IF(K111=0,"aucune phase","ok")))</f>
        <v/>
      </c>
    </row>
    <row r="112">
      <c r="A112" s="16" t="n"/>
      <c r="B112" s="21" t="n"/>
      <c r="C112" s="16" t="n"/>
      <c r="D112" s="16" t="n"/>
      <c r="E112" s="29" t="n"/>
      <c r="F112" s="16" t="n"/>
      <c r="G112" s="16" t="n"/>
      <c r="H112" s="16" t="n"/>
      <c r="I112" s="29" t="n"/>
      <c r="J112" s="29" t="n"/>
      <c r="K112" s="26">
        <f>IF(A112="","",SUMPRODUCT((Phases!$A$3:$A$900=A112)*(Phases!$B$3:$B$900=B112)*(Phases!$C$3:$C$900=C112)))</f>
        <v/>
      </c>
      <c r="L112" s="28">
        <f>IF(A112="","",IF(COUNTIF(Programmes!$A$3:$A$60,A112)=0,"programme inconnu",IF(K112=0,"aucune phase","ok")))</f>
        <v/>
      </c>
    </row>
    <row r="113">
      <c r="A113" s="16" t="n"/>
      <c r="B113" s="21" t="n"/>
      <c r="C113" s="16" t="n"/>
      <c r="D113" s="16" t="n"/>
      <c r="E113" s="29" t="n"/>
      <c r="F113" s="16" t="n"/>
      <c r="G113" s="16" t="n"/>
      <c r="H113" s="16" t="n"/>
      <c r="I113" s="29" t="n"/>
      <c r="J113" s="29" t="n"/>
      <c r="K113" s="26">
        <f>IF(A113="","",SUMPRODUCT((Phases!$A$3:$A$900=A113)*(Phases!$B$3:$B$900=B113)*(Phases!$C$3:$C$900=C113)))</f>
        <v/>
      </c>
      <c r="L113" s="28">
        <f>IF(A113="","",IF(COUNTIF(Programmes!$A$3:$A$60,A113)=0,"programme inconnu",IF(K113=0,"aucune phase","ok")))</f>
        <v/>
      </c>
    </row>
    <row r="114">
      <c r="A114" s="16" t="n"/>
      <c r="B114" s="21" t="n"/>
      <c r="C114" s="16" t="n"/>
      <c r="D114" s="16" t="n"/>
      <c r="E114" s="29" t="n"/>
      <c r="F114" s="16" t="n"/>
      <c r="G114" s="16" t="n"/>
      <c r="H114" s="16" t="n"/>
      <c r="I114" s="29" t="n"/>
      <c r="J114" s="29" t="n"/>
      <c r="K114" s="26">
        <f>IF(A114="","",SUMPRODUCT((Phases!$A$3:$A$900=A114)*(Phases!$B$3:$B$900=B114)*(Phases!$C$3:$C$900=C114)))</f>
        <v/>
      </c>
      <c r="L114" s="28">
        <f>IF(A114="","",IF(COUNTIF(Programmes!$A$3:$A$60,A114)=0,"programme inconnu",IF(K114=0,"aucune phase","ok")))</f>
        <v/>
      </c>
    </row>
    <row r="115">
      <c r="A115" s="16" t="n"/>
      <c r="B115" s="21" t="n"/>
      <c r="C115" s="16" t="n"/>
      <c r="D115" s="16" t="n"/>
      <c r="E115" s="29" t="n"/>
      <c r="F115" s="16" t="n"/>
      <c r="G115" s="16" t="n"/>
      <c r="H115" s="16" t="n"/>
      <c r="I115" s="29" t="n"/>
      <c r="J115" s="29" t="n"/>
      <c r="K115" s="26">
        <f>IF(A115="","",SUMPRODUCT((Phases!$A$3:$A$900=A115)*(Phases!$B$3:$B$900=B115)*(Phases!$C$3:$C$900=C115)))</f>
        <v/>
      </c>
      <c r="L115" s="28">
        <f>IF(A115="","",IF(COUNTIF(Programmes!$A$3:$A$60,A115)=0,"programme inconnu",IF(K115=0,"aucune phase","ok")))</f>
        <v/>
      </c>
    </row>
    <row r="116">
      <c r="A116" s="16" t="n"/>
      <c r="B116" s="21" t="n"/>
      <c r="C116" s="16" t="n"/>
      <c r="D116" s="16" t="n"/>
      <c r="E116" s="29" t="n"/>
      <c r="F116" s="16" t="n"/>
      <c r="G116" s="16" t="n"/>
      <c r="H116" s="16" t="n"/>
      <c r="I116" s="29" t="n"/>
      <c r="J116" s="29" t="n"/>
      <c r="K116" s="26">
        <f>IF(A116="","",SUMPRODUCT((Phases!$A$3:$A$900=A116)*(Phases!$B$3:$B$900=B116)*(Phases!$C$3:$C$900=C116)))</f>
        <v/>
      </c>
      <c r="L116" s="28">
        <f>IF(A116="","",IF(COUNTIF(Programmes!$A$3:$A$60,A116)=0,"programme inconnu",IF(K116=0,"aucune phase","ok")))</f>
        <v/>
      </c>
    </row>
    <row r="117">
      <c r="A117" s="16" t="n"/>
      <c r="B117" s="21" t="n"/>
      <c r="C117" s="16" t="n"/>
      <c r="D117" s="16" t="n"/>
      <c r="E117" s="29" t="n"/>
      <c r="F117" s="16" t="n"/>
      <c r="G117" s="16" t="n"/>
      <c r="H117" s="16" t="n"/>
      <c r="I117" s="29" t="n"/>
      <c r="J117" s="29" t="n"/>
      <c r="K117" s="26">
        <f>IF(A117="","",SUMPRODUCT((Phases!$A$3:$A$900=A117)*(Phases!$B$3:$B$900=B117)*(Phases!$C$3:$C$900=C117)))</f>
        <v/>
      </c>
      <c r="L117" s="28">
        <f>IF(A117="","",IF(COUNTIF(Programmes!$A$3:$A$60,A117)=0,"programme inconnu",IF(K117=0,"aucune phase","ok")))</f>
        <v/>
      </c>
    </row>
    <row r="118">
      <c r="A118" s="16" t="n"/>
      <c r="B118" s="21" t="n"/>
      <c r="C118" s="16" t="n"/>
      <c r="D118" s="16" t="n"/>
      <c r="E118" s="29" t="n"/>
      <c r="F118" s="16" t="n"/>
      <c r="G118" s="16" t="n"/>
      <c r="H118" s="16" t="n"/>
      <c r="I118" s="29" t="n"/>
      <c r="J118" s="29" t="n"/>
      <c r="K118" s="26">
        <f>IF(A118="","",SUMPRODUCT((Phases!$A$3:$A$900=A118)*(Phases!$B$3:$B$900=B118)*(Phases!$C$3:$C$900=C118)))</f>
        <v/>
      </c>
      <c r="L118" s="28">
        <f>IF(A118="","",IF(COUNTIF(Programmes!$A$3:$A$60,A118)=0,"programme inconnu",IF(K118=0,"aucune phase","ok")))</f>
        <v/>
      </c>
    </row>
    <row r="119">
      <c r="A119" s="16" t="n"/>
      <c r="B119" s="21" t="n"/>
      <c r="C119" s="16" t="n"/>
      <c r="D119" s="16" t="n"/>
      <c r="E119" s="29" t="n"/>
      <c r="F119" s="16" t="n"/>
      <c r="G119" s="16" t="n"/>
      <c r="H119" s="16" t="n"/>
      <c r="I119" s="29" t="n"/>
      <c r="J119" s="29" t="n"/>
      <c r="K119" s="26">
        <f>IF(A119="","",SUMPRODUCT((Phases!$A$3:$A$900=A119)*(Phases!$B$3:$B$900=B119)*(Phases!$C$3:$C$900=C119)))</f>
        <v/>
      </c>
      <c r="L119" s="28">
        <f>IF(A119="","",IF(COUNTIF(Programmes!$A$3:$A$60,A119)=0,"programme inconnu",IF(K119=0,"aucune phase","ok")))</f>
        <v/>
      </c>
    </row>
    <row r="120">
      <c r="A120" s="16" t="n"/>
      <c r="B120" s="21" t="n"/>
      <c r="C120" s="16" t="n"/>
      <c r="D120" s="16" t="n"/>
      <c r="E120" s="29" t="n"/>
      <c r="F120" s="16" t="n"/>
      <c r="G120" s="16" t="n"/>
      <c r="H120" s="16" t="n"/>
      <c r="I120" s="29" t="n"/>
      <c r="J120" s="29" t="n"/>
      <c r="K120" s="26">
        <f>IF(A120="","",SUMPRODUCT((Phases!$A$3:$A$900=A120)*(Phases!$B$3:$B$900=B120)*(Phases!$C$3:$C$900=C120)))</f>
        <v/>
      </c>
      <c r="L120" s="28">
        <f>IF(A120="","",IF(COUNTIF(Programmes!$A$3:$A$60,A120)=0,"programme inconnu",IF(K120=0,"aucune phase","ok")))</f>
        <v/>
      </c>
    </row>
    <row r="121">
      <c r="A121" s="16" t="n"/>
      <c r="B121" s="21" t="n"/>
      <c r="C121" s="16" t="n"/>
      <c r="D121" s="16" t="n"/>
      <c r="E121" s="29" t="n"/>
      <c r="F121" s="16" t="n"/>
      <c r="G121" s="16" t="n"/>
      <c r="H121" s="16" t="n"/>
      <c r="I121" s="29" t="n"/>
      <c r="J121" s="29" t="n"/>
      <c r="K121" s="26">
        <f>IF(A121="","",SUMPRODUCT((Phases!$A$3:$A$900=A121)*(Phases!$B$3:$B$900=B121)*(Phases!$C$3:$C$900=C121)))</f>
        <v/>
      </c>
      <c r="L121" s="28">
        <f>IF(A121="","",IF(COUNTIF(Programmes!$A$3:$A$60,A121)=0,"programme inconnu",IF(K121=0,"aucune phase","ok")))</f>
        <v/>
      </c>
    </row>
    <row r="122">
      <c r="A122" s="16" t="n"/>
      <c r="B122" s="21" t="n"/>
      <c r="C122" s="16" t="n"/>
      <c r="D122" s="16" t="n"/>
      <c r="E122" s="29" t="n"/>
      <c r="F122" s="16" t="n"/>
      <c r="G122" s="16" t="n"/>
      <c r="H122" s="16" t="n"/>
      <c r="I122" s="29" t="n"/>
      <c r="J122" s="29" t="n"/>
      <c r="K122" s="26">
        <f>IF(A122="","",SUMPRODUCT((Phases!$A$3:$A$900=A122)*(Phases!$B$3:$B$900=B122)*(Phases!$C$3:$C$900=C122)))</f>
        <v/>
      </c>
      <c r="L122" s="28">
        <f>IF(A122="","",IF(COUNTIF(Programmes!$A$3:$A$60,A122)=0,"programme inconnu",IF(K122=0,"aucune phase","ok")))</f>
        <v/>
      </c>
    </row>
    <row r="123">
      <c r="A123" s="16" t="n"/>
      <c r="B123" s="21" t="n"/>
      <c r="C123" s="16" t="n"/>
      <c r="D123" s="16" t="n"/>
      <c r="E123" s="29" t="n"/>
      <c r="F123" s="16" t="n"/>
      <c r="G123" s="16" t="n"/>
      <c r="H123" s="16" t="n"/>
      <c r="I123" s="29" t="n"/>
      <c r="J123" s="29" t="n"/>
      <c r="K123" s="26">
        <f>IF(A123="","",SUMPRODUCT((Phases!$A$3:$A$900=A123)*(Phases!$B$3:$B$900=B123)*(Phases!$C$3:$C$900=C123)))</f>
        <v/>
      </c>
      <c r="L123" s="28">
        <f>IF(A123="","",IF(COUNTIF(Programmes!$A$3:$A$60,A123)=0,"programme inconnu",IF(K123=0,"aucune phase","ok")))</f>
        <v/>
      </c>
    </row>
    <row r="124">
      <c r="A124" s="16" t="n"/>
      <c r="B124" s="21" t="n"/>
      <c r="C124" s="16" t="n"/>
      <c r="D124" s="16" t="n"/>
      <c r="E124" s="29" t="n"/>
      <c r="F124" s="16" t="n"/>
      <c r="G124" s="16" t="n"/>
      <c r="H124" s="16" t="n"/>
      <c r="I124" s="29" t="n"/>
      <c r="J124" s="29" t="n"/>
      <c r="K124" s="26">
        <f>IF(A124="","",SUMPRODUCT((Phases!$A$3:$A$900=A124)*(Phases!$B$3:$B$900=B124)*(Phases!$C$3:$C$900=C124)))</f>
        <v/>
      </c>
      <c r="L124" s="28">
        <f>IF(A124="","",IF(COUNTIF(Programmes!$A$3:$A$60,A124)=0,"programme inconnu",IF(K124=0,"aucune phase","ok")))</f>
        <v/>
      </c>
    </row>
    <row r="125">
      <c r="A125" s="16" t="n"/>
      <c r="B125" s="21" t="n"/>
      <c r="C125" s="16" t="n"/>
      <c r="D125" s="16" t="n"/>
      <c r="E125" s="29" t="n"/>
      <c r="F125" s="16" t="n"/>
      <c r="G125" s="16" t="n"/>
      <c r="H125" s="16" t="n"/>
      <c r="I125" s="29" t="n"/>
      <c r="J125" s="29" t="n"/>
      <c r="K125" s="26">
        <f>IF(A125="","",SUMPRODUCT((Phases!$A$3:$A$900=A125)*(Phases!$B$3:$B$900=B125)*(Phases!$C$3:$C$900=C125)))</f>
        <v/>
      </c>
      <c r="L125" s="28">
        <f>IF(A125="","",IF(COUNTIF(Programmes!$A$3:$A$60,A125)=0,"programme inconnu",IF(K125=0,"aucune phase","ok")))</f>
        <v/>
      </c>
    </row>
    <row r="126">
      <c r="A126" s="16" t="n"/>
      <c r="B126" s="21" t="n"/>
      <c r="C126" s="16" t="n"/>
      <c r="D126" s="16" t="n"/>
      <c r="E126" s="29" t="n"/>
      <c r="F126" s="16" t="n"/>
      <c r="G126" s="16" t="n"/>
      <c r="H126" s="16" t="n"/>
      <c r="I126" s="29" t="n"/>
      <c r="J126" s="29" t="n"/>
      <c r="K126" s="26">
        <f>IF(A126="","",SUMPRODUCT((Phases!$A$3:$A$900=A126)*(Phases!$B$3:$B$900=B126)*(Phases!$C$3:$C$900=C126)))</f>
        <v/>
      </c>
      <c r="L126" s="28">
        <f>IF(A126="","",IF(COUNTIF(Programmes!$A$3:$A$60,A126)=0,"programme inconnu",IF(K126=0,"aucune phase","ok")))</f>
        <v/>
      </c>
    </row>
    <row r="127">
      <c r="A127" s="16" t="n"/>
      <c r="B127" s="21" t="n"/>
      <c r="C127" s="16" t="n"/>
      <c r="D127" s="16" t="n"/>
      <c r="E127" s="29" t="n"/>
      <c r="F127" s="16" t="n"/>
      <c r="G127" s="16" t="n"/>
      <c r="H127" s="16" t="n"/>
      <c r="I127" s="29" t="n"/>
      <c r="J127" s="29" t="n"/>
      <c r="K127" s="26">
        <f>IF(A127="","",SUMPRODUCT((Phases!$A$3:$A$900=A127)*(Phases!$B$3:$B$900=B127)*(Phases!$C$3:$C$900=C127)))</f>
        <v/>
      </c>
      <c r="L127" s="28">
        <f>IF(A127="","",IF(COUNTIF(Programmes!$A$3:$A$60,A127)=0,"programme inconnu",IF(K127=0,"aucune phase","ok")))</f>
        <v/>
      </c>
    </row>
    <row r="128">
      <c r="A128" s="16" t="n"/>
      <c r="B128" s="21" t="n"/>
      <c r="C128" s="16" t="n"/>
      <c r="D128" s="16" t="n"/>
      <c r="E128" s="29" t="n"/>
      <c r="F128" s="16" t="n"/>
      <c r="G128" s="16" t="n"/>
      <c r="H128" s="16" t="n"/>
      <c r="I128" s="29" t="n"/>
      <c r="J128" s="29" t="n"/>
      <c r="K128" s="26">
        <f>IF(A128="","",SUMPRODUCT((Phases!$A$3:$A$900=A128)*(Phases!$B$3:$B$900=B128)*(Phases!$C$3:$C$900=C128)))</f>
        <v/>
      </c>
      <c r="L128" s="28">
        <f>IF(A128="","",IF(COUNTIF(Programmes!$A$3:$A$60,A128)=0,"programme inconnu",IF(K128=0,"aucune phase","ok")))</f>
        <v/>
      </c>
    </row>
    <row r="129">
      <c r="A129" s="16" t="n"/>
      <c r="B129" s="21" t="n"/>
      <c r="C129" s="16" t="n"/>
      <c r="D129" s="16" t="n"/>
      <c r="E129" s="29" t="n"/>
      <c r="F129" s="16" t="n"/>
      <c r="G129" s="16" t="n"/>
      <c r="H129" s="16" t="n"/>
      <c r="I129" s="29" t="n"/>
      <c r="J129" s="29" t="n"/>
      <c r="K129" s="26">
        <f>IF(A129="","",SUMPRODUCT((Phases!$A$3:$A$900=A129)*(Phases!$B$3:$B$900=B129)*(Phases!$C$3:$C$900=C129)))</f>
        <v/>
      </c>
      <c r="L129" s="28">
        <f>IF(A129="","",IF(COUNTIF(Programmes!$A$3:$A$60,A129)=0,"programme inconnu",IF(K129=0,"aucune phase","ok")))</f>
        <v/>
      </c>
    </row>
    <row r="130">
      <c r="A130" s="16" t="n"/>
      <c r="B130" s="21" t="n"/>
      <c r="C130" s="16" t="n"/>
      <c r="D130" s="16" t="n"/>
      <c r="E130" s="29" t="n"/>
      <c r="F130" s="16" t="n"/>
      <c r="G130" s="16" t="n"/>
      <c r="H130" s="16" t="n"/>
      <c r="I130" s="29" t="n"/>
      <c r="J130" s="29" t="n"/>
      <c r="K130" s="26">
        <f>IF(A130="","",SUMPRODUCT((Phases!$A$3:$A$900=A130)*(Phases!$B$3:$B$900=B130)*(Phases!$C$3:$C$900=C130)))</f>
        <v/>
      </c>
      <c r="L130" s="28">
        <f>IF(A130="","",IF(COUNTIF(Programmes!$A$3:$A$60,A130)=0,"programme inconnu",IF(K130=0,"aucune phase","ok")))</f>
        <v/>
      </c>
    </row>
    <row r="131">
      <c r="A131" s="16" t="n"/>
      <c r="B131" s="21" t="n"/>
      <c r="C131" s="16" t="n"/>
      <c r="D131" s="16" t="n"/>
      <c r="E131" s="29" t="n"/>
      <c r="F131" s="16" t="n"/>
      <c r="G131" s="16" t="n"/>
      <c r="H131" s="16" t="n"/>
      <c r="I131" s="29" t="n"/>
      <c r="J131" s="29" t="n"/>
      <c r="K131" s="26">
        <f>IF(A131="","",SUMPRODUCT((Phases!$A$3:$A$900=A131)*(Phases!$B$3:$B$900=B131)*(Phases!$C$3:$C$900=C131)))</f>
        <v/>
      </c>
      <c r="L131" s="28">
        <f>IF(A131="","",IF(COUNTIF(Programmes!$A$3:$A$60,A131)=0,"programme inconnu",IF(K131=0,"aucune phase","ok")))</f>
        <v/>
      </c>
    </row>
    <row r="132">
      <c r="A132" s="16" t="n"/>
      <c r="B132" s="21" t="n"/>
      <c r="C132" s="16" t="n"/>
      <c r="D132" s="16" t="n"/>
      <c r="E132" s="29" t="n"/>
      <c r="F132" s="16" t="n"/>
      <c r="G132" s="16" t="n"/>
      <c r="H132" s="16" t="n"/>
      <c r="I132" s="29" t="n"/>
      <c r="J132" s="29" t="n"/>
      <c r="K132" s="26">
        <f>IF(A132="","",SUMPRODUCT((Phases!$A$3:$A$900=A132)*(Phases!$B$3:$B$900=B132)*(Phases!$C$3:$C$900=C132)))</f>
        <v/>
      </c>
      <c r="L132" s="28">
        <f>IF(A132="","",IF(COUNTIF(Programmes!$A$3:$A$60,A132)=0,"programme inconnu",IF(K132=0,"aucune phase","ok")))</f>
        <v/>
      </c>
    </row>
    <row r="133">
      <c r="A133" s="16" t="n"/>
      <c r="B133" s="21" t="n"/>
      <c r="C133" s="16" t="n"/>
      <c r="D133" s="16" t="n"/>
      <c r="E133" s="29" t="n"/>
      <c r="F133" s="16" t="n"/>
      <c r="G133" s="16" t="n"/>
      <c r="H133" s="16" t="n"/>
      <c r="I133" s="29" t="n"/>
      <c r="J133" s="29" t="n"/>
      <c r="K133" s="26">
        <f>IF(A133="","",SUMPRODUCT((Phases!$A$3:$A$900=A133)*(Phases!$B$3:$B$900=B133)*(Phases!$C$3:$C$900=C133)))</f>
        <v/>
      </c>
      <c r="L133" s="28">
        <f>IF(A133="","",IF(COUNTIF(Programmes!$A$3:$A$60,A133)=0,"programme inconnu",IF(K133=0,"aucune phase","ok")))</f>
        <v/>
      </c>
    </row>
    <row r="134">
      <c r="A134" s="16" t="n"/>
      <c r="B134" s="21" t="n"/>
      <c r="C134" s="16" t="n"/>
      <c r="D134" s="16" t="n"/>
      <c r="E134" s="29" t="n"/>
      <c r="F134" s="16" t="n"/>
      <c r="G134" s="16" t="n"/>
      <c r="H134" s="16" t="n"/>
      <c r="I134" s="29" t="n"/>
      <c r="J134" s="29" t="n"/>
      <c r="K134" s="26">
        <f>IF(A134="","",SUMPRODUCT((Phases!$A$3:$A$900=A134)*(Phases!$B$3:$B$900=B134)*(Phases!$C$3:$C$900=C134)))</f>
        <v/>
      </c>
      <c r="L134" s="28">
        <f>IF(A134="","",IF(COUNTIF(Programmes!$A$3:$A$60,A134)=0,"programme inconnu",IF(K134=0,"aucune phase","ok")))</f>
        <v/>
      </c>
    </row>
    <row r="135">
      <c r="A135" s="16" t="n"/>
      <c r="B135" s="21" t="n"/>
      <c r="C135" s="16" t="n"/>
      <c r="D135" s="16" t="n"/>
      <c r="E135" s="29" t="n"/>
      <c r="F135" s="16" t="n"/>
      <c r="G135" s="16" t="n"/>
      <c r="H135" s="16" t="n"/>
      <c r="I135" s="29" t="n"/>
      <c r="J135" s="29" t="n"/>
      <c r="K135" s="26">
        <f>IF(A135="","",SUMPRODUCT((Phases!$A$3:$A$900=A135)*(Phases!$B$3:$B$900=B135)*(Phases!$C$3:$C$900=C135)))</f>
        <v/>
      </c>
      <c r="L135" s="28">
        <f>IF(A135="","",IF(COUNTIF(Programmes!$A$3:$A$60,A135)=0,"programme inconnu",IF(K135=0,"aucune phase","ok")))</f>
        <v/>
      </c>
    </row>
    <row r="136">
      <c r="A136" s="16" t="n"/>
      <c r="B136" s="21" t="n"/>
      <c r="C136" s="16" t="n"/>
      <c r="D136" s="16" t="n"/>
      <c r="E136" s="29" t="n"/>
      <c r="F136" s="16" t="n"/>
      <c r="G136" s="16" t="n"/>
      <c r="H136" s="16" t="n"/>
      <c r="I136" s="29" t="n"/>
      <c r="J136" s="29" t="n"/>
      <c r="K136" s="26">
        <f>IF(A136="","",SUMPRODUCT((Phases!$A$3:$A$900=A136)*(Phases!$B$3:$B$900=B136)*(Phases!$C$3:$C$900=C136)))</f>
        <v/>
      </c>
      <c r="L136" s="28">
        <f>IF(A136="","",IF(COUNTIF(Programmes!$A$3:$A$60,A136)=0,"programme inconnu",IF(K136=0,"aucune phase","ok")))</f>
        <v/>
      </c>
    </row>
    <row r="137">
      <c r="A137" s="16" t="n"/>
      <c r="B137" s="21" t="n"/>
      <c r="C137" s="16" t="n"/>
      <c r="D137" s="16" t="n"/>
      <c r="E137" s="29" t="n"/>
      <c r="F137" s="16" t="n"/>
      <c r="G137" s="16" t="n"/>
      <c r="H137" s="16" t="n"/>
      <c r="I137" s="29" t="n"/>
      <c r="J137" s="29" t="n"/>
      <c r="K137" s="26">
        <f>IF(A137="","",SUMPRODUCT((Phases!$A$3:$A$900=A137)*(Phases!$B$3:$B$900=B137)*(Phases!$C$3:$C$900=C137)))</f>
        <v/>
      </c>
      <c r="L137" s="28">
        <f>IF(A137="","",IF(COUNTIF(Programmes!$A$3:$A$60,A137)=0,"programme inconnu",IF(K137=0,"aucune phase","ok")))</f>
        <v/>
      </c>
    </row>
    <row r="138">
      <c r="A138" s="16" t="n"/>
      <c r="B138" s="21" t="n"/>
      <c r="C138" s="16" t="n"/>
      <c r="D138" s="16" t="n"/>
      <c r="E138" s="29" t="n"/>
      <c r="F138" s="16" t="n"/>
      <c r="G138" s="16" t="n"/>
      <c r="H138" s="16" t="n"/>
      <c r="I138" s="29" t="n"/>
      <c r="J138" s="29" t="n"/>
      <c r="K138" s="26">
        <f>IF(A138="","",SUMPRODUCT((Phases!$A$3:$A$900=A138)*(Phases!$B$3:$B$900=B138)*(Phases!$C$3:$C$900=C138)))</f>
        <v/>
      </c>
      <c r="L138" s="28">
        <f>IF(A138="","",IF(COUNTIF(Programmes!$A$3:$A$60,A138)=0,"programme inconnu",IF(K138=0,"aucune phase","ok")))</f>
        <v/>
      </c>
    </row>
    <row r="139">
      <c r="A139" s="16" t="n"/>
      <c r="B139" s="21" t="n"/>
      <c r="C139" s="16" t="n"/>
      <c r="D139" s="16" t="n"/>
      <c r="E139" s="29" t="n"/>
      <c r="F139" s="16" t="n"/>
      <c r="G139" s="16" t="n"/>
      <c r="H139" s="16" t="n"/>
      <c r="I139" s="29" t="n"/>
      <c r="J139" s="29" t="n"/>
      <c r="K139" s="26">
        <f>IF(A139="","",SUMPRODUCT((Phases!$A$3:$A$900=A139)*(Phases!$B$3:$B$900=B139)*(Phases!$C$3:$C$900=C139)))</f>
        <v/>
      </c>
      <c r="L139" s="28">
        <f>IF(A139="","",IF(COUNTIF(Programmes!$A$3:$A$60,A139)=0,"programme inconnu",IF(K139=0,"aucune phase","ok")))</f>
        <v/>
      </c>
    </row>
    <row r="140">
      <c r="A140" s="16" t="n"/>
      <c r="B140" s="21" t="n"/>
      <c r="C140" s="16" t="n"/>
      <c r="D140" s="16" t="n"/>
      <c r="E140" s="29" t="n"/>
      <c r="F140" s="16" t="n"/>
      <c r="G140" s="16" t="n"/>
      <c r="H140" s="16" t="n"/>
      <c r="I140" s="29" t="n"/>
      <c r="J140" s="29" t="n"/>
      <c r="K140" s="26">
        <f>IF(A140="","",SUMPRODUCT((Phases!$A$3:$A$900=A140)*(Phases!$B$3:$B$900=B140)*(Phases!$C$3:$C$900=C140)))</f>
        <v/>
      </c>
      <c r="L140" s="28">
        <f>IF(A140="","",IF(COUNTIF(Programmes!$A$3:$A$60,A140)=0,"programme inconnu",IF(K140=0,"aucune phase","ok")))</f>
        <v/>
      </c>
    </row>
    <row r="141">
      <c r="A141" s="16" t="n"/>
      <c r="B141" s="21" t="n"/>
      <c r="C141" s="16" t="n"/>
      <c r="D141" s="16" t="n"/>
      <c r="E141" s="29" t="n"/>
      <c r="F141" s="16" t="n"/>
      <c r="G141" s="16" t="n"/>
      <c r="H141" s="16" t="n"/>
      <c r="I141" s="29" t="n"/>
      <c r="J141" s="29" t="n"/>
      <c r="K141" s="26">
        <f>IF(A141="","",SUMPRODUCT((Phases!$A$3:$A$900=A141)*(Phases!$B$3:$B$900=B141)*(Phases!$C$3:$C$900=C141)))</f>
        <v/>
      </c>
      <c r="L141" s="28">
        <f>IF(A141="","",IF(COUNTIF(Programmes!$A$3:$A$60,A141)=0,"programme inconnu",IF(K141=0,"aucune phase","ok")))</f>
        <v/>
      </c>
    </row>
    <row r="142">
      <c r="A142" s="16" t="n"/>
      <c r="B142" s="21" t="n"/>
      <c r="C142" s="16" t="n"/>
      <c r="D142" s="16" t="n"/>
      <c r="E142" s="29" t="n"/>
      <c r="F142" s="16" t="n"/>
      <c r="G142" s="16" t="n"/>
      <c r="H142" s="16" t="n"/>
      <c r="I142" s="29" t="n"/>
      <c r="J142" s="29" t="n"/>
      <c r="K142" s="26">
        <f>IF(A142="","",SUMPRODUCT((Phases!$A$3:$A$900=A142)*(Phases!$B$3:$B$900=B142)*(Phases!$C$3:$C$900=C142)))</f>
        <v/>
      </c>
      <c r="L142" s="28">
        <f>IF(A142="","",IF(COUNTIF(Programmes!$A$3:$A$60,A142)=0,"programme inconnu",IF(K142=0,"aucune phase","ok")))</f>
        <v/>
      </c>
    </row>
    <row r="143">
      <c r="A143" s="16" t="n"/>
      <c r="B143" s="21" t="n"/>
      <c r="C143" s="16" t="n"/>
      <c r="D143" s="16" t="n"/>
      <c r="E143" s="29" t="n"/>
      <c r="F143" s="16" t="n"/>
      <c r="G143" s="16" t="n"/>
      <c r="H143" s="16" t="n"/>
      <c r="I143" s="29" t="n"/>
      <c r="J143" s="29" t="n"/>
      <c r="K143" s="26">
        <f>IF(A143="","",SUMPRODUCT((Phases!$A$3:$A$900=A143)*(Phases!$B$3:$B$900=B143)*(Phases!$C$3:$C$900=C143)))</f>
        <v/>
      </c>
      <c r="L143" s="28">
        <f>IF(A143="","",IF(COUNTIF(Programmes!$A$3:$A$60,A143)=0,"programme inconnu",IF(K143=0,"aucune phase","ok")))</f>
        <v/>
      </c>
    </row>
    <row r="144">
      <c r="A144" s="16" t="n"/>
      <c r="B144" s="21" t="n"/>
      <c r="C144" s="16" t="n"/>
      <c r="D144" s="16" t="n"/>
      <c r="E144" s="29" t="n"/>
      <c r="F144" s="16" t="n"/>
      <c r="G144" s="16" t="n"/>
      <c r="H144" s="16" t="n"/>
      <c r="I144" s="29" t="n"/>
      <c r="J144" s="29" t="n"/>
      <c r="K144" s="26">
        <f>IF(A144="","",SUMPRODUCT((Phases!$A$3:$A$900=A144)*(Phases!$B$3:$B$900=B144)*(Phases!$C$3:$C$900=C144)))</f>
        <v/>
      </c>
      <c r="L144" s="28">
        <f>IF(A144="","",IF(COUNTIF(Programmes!$A$3:$A$60,A144)=0,"programme inconnu",IF(K144=0,"aucune phase","ok")))</f>
        <v/>
      </c>
    </row>
    <row r="145">
      <c r="A145" s="16" t="n"/>
      <c r="B145" s="21" t="n"/>
      <c r="C145" s="16" t="n"/>
      <c r="D145" s="16" t="n"/>
      <c r="E145" s="29" t="n"/>
      <c r="F145" s="16" t="n"/>
      <c r="G145" s="16" t="n"/>
      <c r="H145" s="16" t="n"/>
      <c r="I145" s="29" t="n"/>
      <c r="J145" s="29" t="n"/>
      <c r="K145" s="26">
        <f>IF(A145="","",SUMPRODUCT((Phases!$A$3:$A$900=A145)*(Phases!$B$3:$B$900=B145)*(Phases!$C$3:$C$900=C145)))</f>
        <v/>
      </c>
      <c r="L145" s="28">
        <f>IF(A145="","",IF(COUNTIF(Programmes!$A$3:$A$60,A145)=0,"programme inconnu",IF(K145=0,"aucune phase","ok")))</f>
        <v/>
      </c>
    </row>
    <row r="146">
      <c r="A146" s="16" t="n"/>
      <c r="B146" s="21" t="n"/>
      <c r="C146" s="16" t="n"/>
      <c r="D146" s="16" t="n"/>
      <c r="E146" s="29" t="n"/>
      <c r="F146" s="16" t="n"/>
      <c r="G146" s="16" t="n"/>
      <c r="H146" s="16" t="n"/>
      <c r="I146" s="29" t="n"/>
      <c r="J146" s="29" t="n"/>
      <c r="K146" s="26">
        <f>IF(A146="","",SUMPRODUCT((Phases!$A$3:$A$900=A146)*(Phases!$B$3:$B$900=B146)*(Phases!$C$3:$C$900=C146)))</f>
        <v/>
      </c>
      <c r="L146" s="28">
        <f>IF(A146="","",IF(COUNTIF(Programmes!$A$3:$A$60,A146)=0,"programme inconnu",IF(K146=0,"aucune phase","ok")))</f>
        <v/>
      </c>
    </row>
    <row r="147">
      <c r="A147" s="16" t="n"/>
      <c r="B147" s="21" t="n"/>
      <c r="C147" s="16" t="n"/>
      <c r="D147" s="16" t="n"/>
      <c r="E147" s="29" t="n"/>
      <c r="F147" s="16" t="n"/>
      <c r="G147" s="16" t="n"/>
      <c r="H147" s="16" t="n"/>
      <c r="I147" s="29" t="n"/>
      <c r="J147" s="29" t="n"/>
      <c r="K147" s="26">
        <f>IF(A147="","",SUMPRODUCT((Phases!$A$3:$A$900=A147)*(Phases!$B$3:$B$900=B147)*(Phases!$C$3:$C$900=C147)))</f>
        <v/>
      </c>
      <c r="L147" s="28">
        <f>IF(A147="","",IF(COUNTIF(Programmes!$A$3:$A$60,A147)=0,"programme inconnu",IF(K147=0,"aucune phase","ok")))</f>
        <v/>
      </c>
    </row>
    <row r="148">
      <c r="A148" s="16" t="n"/>
      <c r="B148" s="21" t="n"/>
      <c r="C148" s="16" t="n"/>
      <c r="D148" s="16" t="n"/>
      <c r="E148" s="29" t="n"/>
      <c r="F148" s="16" t="n"/>
      <c r="G148" s="16" t="n"/>
      <c r="H148" s="16" t="n"/>
      <c r="I148" s="29" t="n"/>
      <c r="J148" s="29" t="n"/>
      <c r="K148" s="26">
        <f>IF(A148="","",SUMPRODUCT((Phases!$A$3:$A$900=A148)*(Phases!$B$3:$B$900=B148)*(Phases!$C$3:$C$900=C148)))</f>
        <v/>
      </c>
      <c r="L148" s="28">
        <f>IF(A148="","",IF(COUNTIF(Programmes!$A$3:$A$60,A148)=0,"programme inconnu",IF(K148=0,"aucune phase","ok")))</f>
        <v/>
      </c>
    </row>
    <row r="149">
      <c r="A149" s="16" t="n"/>
      <c r="B149" s="21" t="n"/>
      <c r="C149" s="16" t="n"/>
      <c r="D149" s="16" t="n"/>
      <c r="E149" s="29" t="n"/>
      <c r="F149" s="16" t="n"/>
      <c r="G149" s="16" t="n"/>
      <c r="H149" s="16" t="n"/>
      <c r="I149" s="29" t="n"/>
      <c r="J149" s="29" t="n"/>
      <c r="K149" s="26">
        <f>IF(A149="","",SUMPRODUCT((Phases!$A$3:$A$900=A149)*(Phases!$B$3:$B$900=B149)*(Phases!$C$3:$C$900=C149)))</f>
        <v/>
      </c>
      <c r="L149" s="28">
        <f>IF(A149="","",IF(COUNTIF(Programmes!$A$3:$A$60,A149)=0,"programme inconnu",IF(K149=0,"aucune phase","ok")))</f>
        <v/>
      </c>
    </row>
    <row r="150">
      <c r="A150" s="16" t="n"/>
      <c r="B150" s="21" t="n"/>
      <c r="C150" s="16" t="n"/>
      <c r="D150" s="16" t="n"/>
      <c r="E150" s="29" t="n"/>
      <c r="F150" s="16" t="n"/>
      <c r="G150" s="16" t="n"/>
      <c r="H150" s="16" t="n"/>
      <c r="I150" s="29" t="n"/>
      <c r="J150" s="29" t="n"/>
      <c r="K150" s="26">
        <f>IF(A150="","",SUMPRODUCT((Phases!$A$3:$A$900=A150)*(Phases!$B$3:$B$900=B150)*(Phases!$C$3:$C$900=C150)))</f>
        <v/>
      </c>
      <c r="L150" s="28">
        <f>IF(A150="","",IF(COUNTIF(Programmes!$A$3:$A$60,A150)=0,"programme inconnu",IF(K150=0,"aucune phase","ok")))</f>
        <v/>
      </c>
    </row>
    <row r="151">
      <c r="A151" s="16" t="n"/>
      <c r="B151" s="21" t="n"/>
      <c r="C151" s="16" t="n"/>
      <c r="D151" s="16" t="n"/>
      <c r="E151" s="29" t="n"/>
      <c r="F151" s="16" t="n"/>
      <c r="G151" s="16" t="n"/>
      <c r="H151" s="16" t="n"/>
      <c r="I151" s="29" t="n"/>
      <c r="J151" s="29" t="n"/>
      <c r="K151" s="26">
        <f>IF(A151="","",SUMPRODUCT((Phases!$A$3:$A$900=A151)*(Phases!$B$3:$B$900=B151)*(Phases!$C$3:$C$900=C151)))</f>
        <v/>
      </c>
      <c r="L151" s="28">
        <f>IF(A151="","",IF(COUNTIF(Programmes!$A$3:$A$60,A151)=0,"programme inconnu",IF(K151=0,"aucune phase","ok")))</f>
        <v/>
      </c>
    </row>
    <row r="152">
      <c r="A152" s="16" t="n"/>
      <c r="B152" s="21" t="n"/>
      <c r="C152" s="16" t="n"/>
      <c r="D152" s="16" t="n"/>
      <c r="E152" s="29" t="n"/>
      <c r="F152" s="16" t="n"/>
      <c r="G152" s="16" t="n"/>
      <c r="H152" s="16" t="n"/>
      <c r="I152" s="29" t="n"/>
      <c r="J152" s="29" t="n"/>
      <c r="K152" s="26">
        <f>IF(A152="","",SUMPRODUCT((Phases!$A$3:$A$900=A152)*(Phases!$B$3:$B$900=B152)*(Phases!$C$3:$C$900=C152)))</f>
        <v/>
      </c>
      <c r="L152" s="28">
        <f>IF(A152="","",IF(COUNTIF(Programmes!$A$3:$A$60,A152)=0,"programme inconnu",IF(K152=0,"aucune phase","ok")))</f>
        <v/>
      </c>
    </row>
    <row r="153">
      <c r="A153" s="16" t="n"/>
      <c r="B153" s="21" t="n"/>
      <c r="C153" s="16" t="n"/>
      <c r="D153" s="16" t="n"/>
      <c r="E153" s="29" t="n"/>
      <c r="F153" s="16" t="n"/>
      <c r="G153" s="16" t="n"/>
      <c r="H153" s="16" t="n"/>
      <c r="I153" s="29" t="n"/>
      <c r="J153" s="29" t="n"/>
      <c r="K153" s="26">
        <f>IF(A153="","",SUMPRODUCT((Phases!$A$3:$A$900=A153)*(Phases!$B$3:$B$900=B153)*(Phases!$C$3:$C$900=C153)))</f>
        <v/>
      </c>
      <c r="L153" s="28">
        <f>IF(A153="","",IF(COUNTIF(Programmes!$A$3:$A$60,A153)=0,"programme inconnu",IF(K153=0,"aucune phase","ok")))</f>
        <v/>
      </c>
    </row>
  </sheetData>
  <dataValidations count="4">
    <dataValidation sqref="D3:D153" showDropDown="0" showInputMessage="0" showErrorMessage="1" allowBlank="1" errorTitle="Valeur hors liste" error="Choisis une valeur dans la liste deroulante." type="list">
      <formula1>=Listes!$L$2:$L$4</formula1>
    </dataValidation>
    <dataValidation sqref="F3:F153" showDropDown="0" showInputMessage="0" showErrorMessage="1" allowBlank="1" errorTitle="Valeur hors liste" error="Choisis une valeur dans la liste deroulante." type="list">
      <formula1>=Listes!$N$2:$N$3</formula1>
    </dataValidation>
    <dataValidation sqref="G3:G153" showDropDown="0" showInputMessage="0" showErrorMessage="1" allowBlank="1" errorTitle="Valeur hors liste" error="Choisis une valeur dans la liste deroulante." type="list">
      <formula1>=Listes!$B$2:$B$3</formula1>
    </dataValidation>
    <dataValidation sqref="H3:H153" showDropDown="0" showInputMessage="0" showErrorMessage="1" allowBlank="1" errorTitle="Valeur hors liste" error="Choisis une valeur dans la liste deroulante." type="list">
      <formula1>=Listes!$C$2:$C$2</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374151"/>
    <outlinePr summaryBelow="1" summaryRight="1"/>
    <pageSetUpPr/>
  </sheetPr>
  <dimension ref="A1:Q40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11" customWidth="1" min="3" max="3"/>
    <col width="13" customWidth="1" min="4" max="4"/>
    <col width="13" customWidth="1" min="5" max="5"/>
    <col width="11" customWidth="1" min="6" max="6"/>
    <col width="16" customWidth="1" min="7" max="7"/>
    <col width="14" customWidth="1" min="8" max="8"/>
    <col width="10" customWidth="1" min="9" max="9"/>
    <col width="14" customWidth="1" min="10" max="10"/>
    <col width="12" customWidth="1" min="11" max="11"/>
    <col width="10" customWidth="1" min="12" max="12"/>
    <col width="13" customWidth="1" min="13" max="13"/>
    <col width="13" customWidth="1" min="14" max="14"/>
    <col width="16" customWidth="1" min="15" max="15"/>
    <col width="10" customWidth="1" min="16" max="16"/>
    <col width="10" customWidth="1" min="17" max="17"/>
  </cols>
  <sheetData>
    <row r="1" ht="30" customHeight="1">
      <c r="A1" s="14" t="inlineStr">
        <is>
          <t>programme_slug</t>
        </is>
      </c>
      <c r="B1" s="14" t="inlineStr">
        <is>
          <t>taille</t>
        </is>
      </c>
      <c r="C1" s="14" t="inlineStr">
        <is>
          <t>variante</t>
        </is>
      </c>
      <c r="D1" s="14" t="inlineStr">
        <is>
          <t>phase</t>
        </is>
      </c>
      <c r="E1" s="14" t="inlineStr">
        <is>
          <t>objectif_profit</t>
        </is>
      </c>
      <c r="F1" s="14" t="inlineStr">
        <is>
          <t>perte_max</t>
        </is>
      </c>
      <c r="G1" s="14" t="inlineStr">
        <is>
          <t>type_perte_max</t>
        </is>
      </c>
      <c r="H1" s="14" t="inlineStr">
        <is>
          <t>perte_jour</t>
        </is>
      </c>
      <c r="I1" s="14" t="inlineStr">
        <is>
          <t>jours_min</t>
        </is>
      </c>
      <c r="J1" s="14" t="inlineStr">
        <is>
          <t>regularite</t>
        </is>
      </c>
      <c r="K1" s="14" t="inlineStr">
        <is>
          <t>max_contrats</t>
        </is>
      </c>
      <c r="L1" s="14" t="inlineStr">
        <is>
          <t>partage</t>
        </is>
      </c>
      <c r="M1" s="14" t="inlineStr">
        <is>
          <t>plafond_retrait</t>
        </is>
      </c>
      <c r="N1" s="14" t="inlineStr">
        <is>
          <t>retrait_minimum</t>
        </is>
      </c>
      <c r="O1" s="14" t="inlineStr">
        <is>
          <t>controle  (auto)</t>
        </is>
      </c>
      <c r="P1" s="14" t="inlineStr">
        <is>
          <t>partage_bas</t>
        </is>
      </c>
      <c r="Q1" s="14" t="inlineStr">
        <is>
          <t>seuil_partage</t>
        </is>
      </c>
    </row>
    <row r="2" ht="58" customHeight="1">
      <c r="A2" s="25" t="inlineStr">
        <is>
          <t>Le plan parent : programme…</t>
        </is>
      </c>
      <c r="B2" s="25" t="inlineStr">
        <is>
          <t>…taille…</t>
        </is>
      </c>
      <c r="C2" s="25" t="inlineStr">
        <is>
          <t>…et variante, comme dans Plans.</t>
        </is>
      </c>
      <c r="D2" s="25" t="inlineStr">
        <is>
          <t>Onglet Evaluation ou Funded.</t>
        </is>
      </c>
      <c r="E2" s="25" t="inlineStr">
        <is>
          <t>« Profit objective ». En devise. Vide en Funded.</t>
        </is>
      </c>
      <c r="F2" s="25" t="inlineStr">
        <is>
          <t>« Maximum loss » : la valeur…</t>
        </is>
      </c>
      <c r="G2" s="25" t="inlineStr">
        <is>
          <t>…et son type.</t>
        </is>
      </c>
      <c r="H2" s="25" t="inlineStr">
        <is>
          <t>« Daily loss ». En devise, ou « aucune », ou un statut (not_published…). Vide : ligne masquee.</t>
        </is>
      </c>
      <c r="I2" s="25" t="inlineStr">
        <is>
          <t>« Minimum days ».</t>
        </is>
      </c>
      <c r="J2" s="25" t="inlineStr">
        <is>
          <t>« Consistency ». En %, ou « aucune », ou « non confirmee ».</t>
        </is>
      </c>
      <c r="K2" s="25" t="inlineStr">
        <is>
          <t>« Maximum positions/contracts ».</t>
        </is>
      </c>
      <c r="L2" s="25" t="inlineStr">
        <is>
          <t>« Profit split ». En %.</t>
        </is>
      </c>
      <c r="M2" s="25" t="inlineStr">
        <is>
          <t>Funded : plafond par demande de retrait, en devise. Ou un statut : not_published (la firme ne le publie pas), not_applicable, needs_confirmation, source_conflict. Vide : la ligne disparait.</t>
        </is>
      </c>
      <c r="N2" s="25" t="inlineStr">
        <is>
          <t>Funded : minimum par demande, en devise. Ou un statut : not_published (la firme ne le publie pas), not_applicable, needs_confirmation, source_conflict. Vide : la ligne disparait.</t>
        </is>
      </c>
      <c r="O2" s="25" t="inlineStr">
        <is>
          <t>ok, ou plan introuvable.</t>
        </is>
      </c>
      <c r="P2" s="25" t="inlineStr">
        <is>
          <t>Partage par palier : le taux SOUS le seuil (50 %). Vide si un seul taux. Le taux au-dessus va dans « partage ».</t>
        </is>
      </c>
      <c r="Q2" s="25" t="inlineStr">
        <is>
          <t>Montant d'une demande de retrait a partir duquel « partage » s'applique. En devise. Avec partage_bas.</t>
        </is>
      </c>
    </row>
    <row r="3">
      <c r="A3" s="17" t="inlineStr">
        <is>
          <t>high-stakes</t>
        </is>
      </c>
      <c r="B3" s="22" t="n">
        <v>2500</v>
      </c>
      <c r="C3" s="17" t="inlineStr">
        <is>
          <t>NEW</t>
        </is>
      </c>
      <c r="D3" s="17" t="inlineStr">
        <is>
          <t>evaluation</t>
        </is>
      </c>
      <c r="E3" s="22" t="n">
        <v>250</v>
      </c>
      <c r="F3" s="22" t="n">
        <v>250</v>
      </c>
      <c r="G3" s="17" t="inlineStr">
        <is>
          <t>Static</t>
        </is>
      </c>
      <c r="H3" s="22" t="n">
        <v>125</v>
      </c>
      <c r="I3" s="24" t="n">
        <v>3</v>
      </c>
      <c r="J3" s="30" t="inlineStr">
        <is>
          <t>aucune</t>
        </is>
      </c>
      <c r="K3" s="24" t="n"/>
      <c r="L3" s="30" t="n"/>
      <c r="M3" s="22" t="n"/>
      <c r="N3" s="22" t="n"/>
      <c r="O3" s="28">
        <f>IF(A3="","",IF(SUMPRODUCT((Plans!$A$3:$A$300=A3)*(Plans!$B$3:$B$300=B3)*(Plans!$C$3:$C$300=C3))=0,"PLAN INCONNU","ok"))</f>
        <v/>
      </c>
    </row>
    <row r="4">
      <c r="A4" s="17" t="inlineStr">
        <is>
          <t>high-stakes</t>
        </is>
      </c>
      <c r="B4" s="22" t="n">
        <v>2500</v>
      </c>
      <c r="C4" s="17" t="inlineStr">
        <is>
          <t>NEW</t>
        </is>
      </c>
      <c r="D4" s="17" t="inlineStr">
        <is>
          <t>evaluation_2</t>
        </is>
      </c>
      <c r="E4" s="22" t="n">
        <v>125</v>
      </c>
      <c r="F4" s="22" t="n">
        <v>250</v>
      </c>
      <c r="G4" s="17" t="inlineStr">
        <is>
          <t>Static</t>
        </is>
      </c>
      <c r="H4" s="22" t="n">
        <v>125</v>
      </c>
      <c r="I4" s="24" t="n">
        <v>3</v>
      </c>
      <c r="J4" s="30" t="inlineStr">
        <is>
          <t>aucune</t>
        </is>
      </c>
      <c r="K4" s="24" t="n"/>
      <c r="L4" s="30" t="n"/>
      <c r="M4" s="22" t="n"/>
      <c r="N4" s="22" t="n"/>
      <c r="O4" s="28">
        <f>IF(A4="","",IF(SUMPRODUCT((Plans!$A$3:$A$300=A4)*(Plans!$B$3:$B$300=B4)*(Plans!$C$3:$C$300=C4))=0,"PLAN INCONNU","ok"))</f>
        <v/>
      </c>
    </row>
    <row r="5">
      <c r="A5" s="16" t="inlineStr">
        <is>
          <t>high-stakes</t>
        </is>
      </c>
      <c r="B5" s="21" t="n">
        <v>2500</v>
      </c>
      <c r="C5" s="16" t="inlineStr">
        <is>
          <t>NEW</t>
        </is>
      </c>
      <c r="D5" s="16" t="inlineStr">
        <is>
          <t>funded</t>
        </is>
      </c>
      <c r="E5" s="21" t="n"/>
      <c r="F5" s="21" t="n">
        <v>250</v>
      </c>
      <c r="G5" s="16" t="inlineStr">
        <is>
          <t>Static</t>
        </is>
      </c>
      <c r="H5" s="21" t="n">
        <v>125</v>
      </c>
      <c r="I5" s="23" t="n">
        <v>3</v>
      </c>
      <c r="J5" s="31" t="inlineStr">
        <is>
          <t>aucune</t>
        </is>
      </c>
      <c r="K5" s="23" t="n"/>
      <c r="L5" s="31" t="n">
        <v>0.8</v>
      </c>
      <c r="M5" s="21" t="n"/>
      <c r="N5" s="21" t="n"/>
      <c r="O5" s="28">
        <f>IF(A5="","",IF(SUMPRODUCT((Plans!$A$3:$A$300=A5)*(Plans!$B$3:$B$300=B5)*(Plans!$C$3:$C$300=C5))=0,"PLAN INCONNU","ok"))</f>
        <v/>
      </c>
    </row>
    <row r="6">
      <c r="A6" s="16" t="inlineStr">
        <is>
          <t>high-stakes</t>
        </is>
      </c>
      <c r="B6" s="21" t="n">
        <v>5000</v>
      </c>
      <c r="C6" s="16" t="inlineStr">
        <is>
          <t>NEW</t>
        </is>
      </c>
      <c r="D6" s="16" t="inlineStr">
        <is>
          <t>evaluation</t>
        </is>
      </c>
      <c r="E6" s="21" t="n">
        <v>500</v>
      </c>
      <c r="F6" s="21" t="n">
        <v>500</v>
      </c>
      <c r="G6" s="16" t="inlineStr">
        <is>
          <t>Static</t>
        </is>
      </c>
      <c r="H6" s="21" t="n">
        <v>250</v>
      </c>
      <c r="I6" s="23" t="n">
        <v>3</v>
      </c>
      <c r="J6" s="31" t="inlineStr">
        <is>
          <t>aucune</t>
        </is>
      </c>
      <c r="K6" s="23" t="n"/>
      <c r="L6" s="31" t="n"/>
      <c r="M6" s="21" t="n"/>
      <c r="N6" s="21" t="n"/>
      <c r="O6" s="28">
        <f>IF(A6="","",IF(SUMPRODUCT((Plans!$A$3:$A$300=A6)*(Plans!$B$3:$B$300=B6)*(Plans!$C$3:$C$300=C6))=0,"PLAN INCONNU","ok"))</f>
        <v/>
      </c>
    </row>
    <row r="7">
      <c r="A7" s="16" t="inlineStr">
        <is>
          <t>high-stakes</t>
        </is>
      </c>
      <c r="B7" s="21" t="n">
        <v>5000</v>
      </c>
      <c r="C7" s="16" t="inlineStr">
        <is>
          <t>NEW</t>
        </is>
      </c>
      <c r="D7" s="16" t="inlineStr">
        <is>
          <t>evaluation_2</t>
        </is>
      </c>
      <c r="E7" s="21" t="n">
        <v>250</v>
      </c>
      <c r="F7" s="21" t="n">
        <v>500</v>
      </c>
      <c r="G7" s="16" t="inlineStr">
        <is>
          <t>Static</t>
        </is>
      </c>
      <c r="H7" s="21" t="n">
        <v>250</v>
      </c>
      <c r="I7" s="23" t="n">
        <v>3</v>
      </c>
      <c r="J7" s="31" t="inlineStr">
        <is>
          <t>aucune</t>
        </is>
      </c>
      <c r="K7" s="23" t="n"/>
      <c r="L7" s="31" t="n"/>
      <c r="M7" s="21" t="n"/>
      <c r="N7" s="21" t="n"/>
      <c r="O7" s="28">
        <f>IF(A7="","",IF(SUMPRODUCT((Plans!$A$3:$A$300=A7)*(Plans!$B$3:$B$300=B7)*(Plans!$C$3:$C$300=C7))=0,"PLAN INCONNU","ok"))</f>
        <v/>
      </c>
    </row>
    <row r="8">
      <c r="A8" s="16" t="inlineStr">
        <is>
          <t>high-stakes</t>
        </is>
      </c>
      <c r="B8" s="21" t="n">
        <v>5000</v>
      </c>
      <c r="C8" s="16" t="inlineStr">
        <is>
          <t>NEW</t>
        </is>
      </c>
      <c r="D8" s="16" t="inlineStr">
        <is>
          <t>funded</t>
        </is>
      </c>
      <c r="E8" s="21" t="n"/>
      <c r="F8" s="21" t="n">
        <v>500</v>
      </c>
      <c r="G8" s="16" t="inlineStr">
        <is>
          <t>Static</t>
        </is>
      </c>
      <c r="H8" s="21" t="n">
        <v>250</v>
      </c>
      <c r="I8" s="23" t="n">
        <v>3</v>
      </c>
      <c r="J8" s="31" t="inlineStr">
        <is>
          <t>aucune</t>
        </is>
      </c>
      <c r="K8" s="23" t="n"/>
      <c r="L8" s="31" t="n">
        <v>0.8</v>
      </c>
      <c r="M8" s="21" t="n"/>
      <c r="N8" s="21" t="n"/>
      <c r="O8" s="28">
        <f>IF(A8="","",IF(SUMPRODUCT((Plans!$A$3:$A$300=A8)*(Plans!$B$3:$B$300=B8)*(Plans!$C$3:$C$300=C8))=0,"PLAN INCONNU","ok"))</f>
        <v/>
      </c>
    </row>
    <row r="9">
      <c r="A9" s="16" t="inlineStr">
        <is>
          <t>high-stakes</t>
        </is>
      </c>
      <c r="B9" s="21" t="n">
        <v>10000</v>
      </c>
      <c r="C9" s="16" t="inlineStr">
        <is>
          <t>NEW</t>
        </is>
      </c>
      <c r="D9" s="16" t="inlineStr">
        <is>
          <t>evaluation</t>
        </is>
      </c>
      <c r="E9" s="21" t="n">
        <v>1000</v>
      </c>
      <c r="F9" s="21" t="n">
        <v>1000</v>
      </c>
      <c r="G9" s="16" t="inlineStr">
        <is>
          <t>Static</t>
        </is>
      </c>
      <c r="H9" s="21" t="n">
        <v>500</v>
      </c>
      <c r="I9" s="23" t="n">
        <v>3</v>
      </c>
      <c r="J9" s="31" t="inlineStr">
        <is>
          <t>aucune</t>
        </is>
      </c>
      <c r="K9" s="23" t="n"/>
      <c r="L9" s="31" t="n"/>
      <c r="M9" s="21" t="n"/>
      <c r="N9" s="21" t="n"/>
      <c r="O9" s="28">
        <f>IF(A9="","",IF(SUMPRODUCT((Plans!$A$3:$A$300=A9)*(Plans!$B$3:$B$300=B9)*(Plans!$C$3:$C$300=C9))=0,"PLAN INCONNU","ok"))</f>
        <v/>
      </c>
    </row>
    <row r="10">
      <c r="A10" s="16" t="inlineStr">
        <is>
          <t>high-stakes</t>
        </is>
      </c>
      <c r="B10" s="21" t="n">
        <v>10000</v>
      </c>
      <c r="C10" s="16" t="inlineStr">
        <is>
          <t>NEW</t>
        </is>
      </c>
      <c r="D10" s="16" t="inlineStr">
        <is>
          <t>evaluation_2</t>
        </is>
      </c>
      <c r="E10" s="21" t="n">
        <v>500</v>
      </c>
      <c r="F10" s="21" t="n">
        <v>1000</v>
      </c>
      <c r="G10" s="16" t="inlineStr">
        <is>
          <t>Static</t>
        </is>
      </c>
      <c r="H10" s="21" t="n">
        <v>500</v>
      </c>
      <c r="I10" s="23" t="n">
        <v>3</v>
      </c>
      <c r="J10" s="31" t="inlineStr">
        <is>
          <t>aucune</t>
        </is>
      </c>
      <c r="K10" s="23" t="n"/>
      <c r="L10" s="31" t="n"/>
      <c r="M10" s="21" t="n"/>
      <c r="N10" s="21" t="n"/>
      <c r="O10" s="28">
        <f>IF(A10="","",IF(SUMPRODUCT((Plans!$A$3:$A$300=A10)*(Plans!$B$3:$B$300=B10)*(Plans!$C$3:$C$300=C10))=0,"PLAN INCONNU","ok"))</f>
        <v/>
      </c>
    </row>
    <row r="11">
      <c r="A11" s="16" t="inlineStr">
        <is>
          <t>high-stakes</t>
        </is>
      </c>
      <c r="B11" s="21" t="n">
        <v>10000</v>
      </c>
      <c r="C11" s="16" t="inlineStr">
        <is>
          <t>NEW</t>
        </is>
      </c>
      <c r="D11" s="16" t="inlineStr">
        <is>
          <t>funded</t>
        </is>
      </c>
      <c r="E11" s="21" t="n"/>
      <c r="F11" s="21" t="n">
        <v>1000</v>
      </c>
      <c r="G11" s="16" t="inlineStr">
        <is>
          <t>Static</t>
        </is>
      </c>
      <c r="H11" s="21" t="n">
        <v>500</v>
      </c>
      <c r="I11" s="23" t="n">
        <v>3</v>
      </c>
      <c r="J11" s="31" t="inlineStr">
        <is>
          <t>aucune</t>
        </is>
      </c>
      <c r="K11" s="23" t="n"/>
      <c r="L11" s="31" t="n">
        <v>0.8</v>
      </c>
      <c r="M11" s="21" t="n"/>
      <c r="N11" s="21" t="n"/>
      <c r="O11" s="28">
        <f>IF(A11="","",IF(SUMPRODUCT((Plans!$A$3:$A$300=A11)*(Plans!$B$3:$B$300=B11)*(Plans!$C$3:$C$300=C11))=0,"PLAN INCONNU","ok"))</f>
        <v/>
      </c>
    </row>
    <row r="12">
      <c r="A12" s="16" t="inlineStr">
        <is>
          <t>high-stakes</t>
        </is>
      </c>
      <c r="B12" s="21" t="n">
        <v>25000</v>
      </c>
      <c r="C12" s="16" t="inlineStr">
        <is>
          <t>NEW</t>
        </is>
      </c>
      <c r="D12" s="16" t="inlineStr">
        <is>
          <t>evaluation</t>
        </is>
      </c>
      <c r="E12" s="21" t="n">
        <v>2500</v>
      </c>
      <c r="F12" s="21" t="n">
        <v>2500</v>
      </c>
      <c r="G12" s="16" t="inlineStr">
        <is>
          <t>Static</t>
        </is>
      </c>
      <c r="H12" s="21" t="n">
        <v>1250</v>
      </c>
      <c r="I12" s="23" t="n">
        <v>3</v>
      </c>
      <c r="J12" s="31" t="inlineStr">
        <is>
          <t>aucune</t>
        </is>
      </c>
      <c r="K12" s="23" t="n"/>
      <c r="L12" s="31" t="n"/>
      <c r="M12" s="21" t="n"/>
      <c r="N12" s="21" t="n"/>
      <c r="O12" s="28">
        <f>IF(A12="","",IF(SUMPRODUCT((Plans!$A$3:$A$300=A12)*(Plans!$B$3:$B$300=B12)*(Plans!$C$3:$C$300=C12))=0,"PLAN INCONNU","ok"))</f>
        <v/>
      </c>
    </row>
    <row r="13">
      <c r="A13" s="16" t="inlineStr">
        <is>
          <t>high-stakes</t>
        </is>
      </c>
      <c r="B13" s="21" t="n">
        <v>25000</v>
      </c>
      <c r="C13" s="16" t="inlineStr">
        <is>
          <t>NEW</t>
        </is>
      </c>
      <c r="D13" s="16" t="inlineStr">
        <is>
          <t>evaluation_2</t>
        </is>
      </c>
      <c r="E13" s="21" t="n">
        <v>1250</v>
      </c>
      <c r="F13" s="21" t="n">
        <v>2500</v>
      </c>
      <c r="G13" s="16" t="inlineStr">
        <is>
          <t>Static</t>
        </is>
      </c>
      <c r="H13" s="21" t="n">
        <v>1250</v>
      </c>
      <c r="I13" s="23" t="n">
        <v>3</v>
      </c>
      <c r="J13" s="31" t="inlineStr">
        <is>
          <t>aucune</t>
        </is>
      </c>
      <c r="K13" s="23" t="n"/>
      <c r="L13" s="31" t="n"/>
      <c r="M13" s="21" t="n"/>
      <c r="N13" s="21" t="n"/>
      <c r="O13" s="28">
        <f>IF(A13="","",IF(SUMPRODUCT((Plans!$A$3:$A$300=A13)*(Plans!$B$3:$B$300=B13)*(Plans!$C$3:$C$300=C13))=0,"PLAN INCONNU","ok"))</f>
        <v/>
      </c>
    </row>
    <row r="14">
      <c r="A14" s="16" t="inlineStr">
        <is>
          <t>high-stakes</t>
        </is>
      </c>
      <c r="B14" s="21" t="n">
        <v>25000</v>
      </c>
      <c r="C14" s="16" t="inlineStr">
        <is>
          <t>NEW</t>
        </is>
      </c>
      <c r="D14" s="16" t="inlineStr">
        <is>
          <t>funded</t>
        </is>
      </c>
      <c r="E14" s="21" t="n"/>
      <c r="F14" s="21" t="n">
        <v>2500</v>
      </c>
      <c r="G14" s="16" t="inlineStr">
        <is>
          <t>Static</t>
        </is>
      </c>
      <c r="H14" s="21" t="n">
        <v>1250</v>
      </c>
      <c r="I14" s="23" t="n">
        <v>3</v>
      </c>
      <c r="J14" s="31" t="inlineStr">
        <is>
          <t>aucune</t>
        </is>
      </c>
      <c r="K14" s="23" t="n"/>
      <c r="L14" s="31" t="n">
        <v>0.8</v>
      </c>
      <c r="M14" s="21" t="n"/>
      <c r="N14" s="21" t="n"/>
      <c r="O14" s="28">
        <f>IF(A14="","",IF(SUMPRODUCT((Plans!$A$3:$A$300=A14)*(Plans!$B$3:$B$300=B14)*(Plans!$C$3:$C$300=C14))=0,"PLAN INCONNU","ok"))</f>
        <v/>
      </c>
    </row>
    <row r="15">
      <c r="A15" s="16" t="inlineStr">
        <is>
          <t>high-stakes</t>
        </is>
      </c>
      <c r="B15" s="21" t="n">
        <v>50000</v>
      </c>
      <c r="C15" s="16" t="inlineStr">
        <is>
          <t>NEW</t>
        </is>
      </c>
      <c r="D15" s="16" t="inlineStr">
        <is>
          <t>evaluation</t>
        </is>
      </c>
      <c r="E15" s="21" t="n">
        <v>5000</v>
      </c>
      <c r="F15" s="21" t="n">
        <v>4000</v>
      </c>
      <c r="G15" s="16" t="inlineStr">
        <is>
          <t>Static</t>
        </is>
      </c>
      <c r="H15" s="21" t="n">
        <v>2000</v>
      </c>
      <c r="I15" s="23" t="n">
        <v>3</v>
      </c>
      <c r="J15" s="31" t="inlineStr">
        <is>
          <t>aucune</t>
        </is>
      </c>
      <c r="K15" s="23" t="n"/>
      <c r="L15" s="31" t="n"/>
      <c r="M15" s="21" t="n"/>
      <c r="N15" s="21" t="n"/>
      <c r="O15" s="28">
        <f>IF(A15="","",IF(SUMPRODUCT((Plans!$A$3:$A$300=A15)*(Plans!$B$3:$B$300=B15)*(Plans!$C$3:$C$300=C15))=0,"PLAN INCONNU","ok"))</f>
        <v/>
      </c>
    </row>
    <row r="16">
      <c r="A16" s="16" t="inlineStr">
        <is>
          <t>high-stakes</t>
        </is>
      </c>
      <c r="B16" s="21" t="n">
        <v>50000</v>
      </c>
      <c r="C16" s="16" t="inlineStr">
        <is>
          <t>NEW</t>
        </is>
      </c>
      <c r="D16" s="16" t="inlineStr">
        <is>
          <t>evaluation_2</t>
        </is>
      </c>
      <c r="E16" s="21" t="n">
        <v>2500</v>
      </c>
      <c r="F16" s="21" t="n">
        <v>4000</v>
      </c>
      <c r="G16" s="16" t="inlineStr">
        <is>
          <t>Static</t>
        </is>
      </c>
      <c r="H16" s="21" t="n">
        <v>2000</v>
      </c>
      <c r="I16" s="23" t="n">
        <v>3</v>
      </c>
      <c r="J16" s="31" t="inlineStr">
        <is>
          <t>aucune</t>
        </is>
      </c>
      <c r="K16" s="23" t="n"/>
      <c r="L16" s="31" t="n"/>
      <c r="M16" s="21" t="n"/>
      <c r="N16" s="21" t="n"/>
      <c r="O16" s="28">
        <f>IF(A16="","",IF(SUMPRODUCT((Plans!$A$3:$A$300=A16)*(Plans!$B$3:$B$300=B16)*(Plans!$C$3:$C$300=C16))=0,"PLAN INCONNU","ok"))</f>
        <v/>
      </c>
    </row>
    <row r="17">
      <c r="A17" s="16" t="inlineStr">
        <is>
          <t>high-stakes</t>
        </is>
      </c>
      <c r="B17" s="21" t="n">
        <v>50000</v>
      </c>
      <c r="C17" s="16" t="inlineStr">
        <is>
          <t>NEW</t>
        </is>
      </c>
      <c r="D17" s="16" t="inlineStr">
        <is>
          <t>funded</t>
        </is>
      </c>
      <c r="E17" s="21" t="n"/>
      <c r="F17" s="21" t="n">
        <v>4000</v>
      </c>
      <c r="G17" s="16" t="inlineStr">
        <is>
          <t>Static</t>
        </is>
      </c>
      <c r="H17" s="21" t="n">
        <v>2000</v>
      </c>
      <c r="I17" s="23" t="n">
        <v>3</v>
      </c>
      <c r="J17" s="31" t="inlineStr">
        <is>
          <t>aucune</t>
        </is>
      </c>
      <c r="K17" s="23" t="n"/>
      <c r="L17" s="31" t="n">
        <v>0.8</v>
      </c>
      <c r="M17" s="21" t="n">
        <v>3000</v>
      </c>
      <c r="N17" s="21" t="n">
        <v>300</v>
      </c>
      <c r="O17" s="28">
        <f>IF(A17="","",IF(SUMPRODUCT((Plans!$A$3:$A$300=A17)*(Plans!$B$3:$B$300=B17)*(Plans!$C$3:$C$300=C17))=0,"PLAN INCONNU","ok"))</f>
        <v/>
      </c>
    </row>
    <row r="18">
      <c r="A18" s="16" t="inlineStr">
        <is>
          <t>high-stakes</t>
        </is>
      </c>
      <c r="B18" s="21" t="n">
        <v>100000</v>
      </c>
      <c r="C18" s="16" t="inlineStr">
        <is>
          <t>NEW</t>
        </is>
      </c>
      <c r="D18" s="16" t="inlineStr">
        <is>
          <t>evaluation</t>
        </is>
      </c>
      <c r="E18" s="21" t="n">
        <v>10000</v>
      </c>
      <c r="F18" s="21" t="n">
        <v>8000</v>
      </c>
      <c r="G18" s="16" t="inlineStr">
        <is>
          <t>Static</t>
        </is>
      </c>
      <c r="H18" s="21" t="n">
        <v>4000</v>
      </c>
      <c r="I18" s="23" t="n">
        <v>3</v>
      </c>
      <c r="J18" s="31" t="inlineStr">
        <is>
          <t>aucune</t>
        </is>
      </c>
      <c r="K18" s="23" t="n"/>
      <c r="L18" s="31" t="n"/>
      <c r="M18" s="21" t="n"/>
      <c r="N18" s="21" t="n"/>
      <c r="O18" s="28">
        <f>IF(A18="","",IF(SUMPRODUCT((Plans!$A$3:$A$300=A18)*(Plans!$B$3:$B$300=B18)*(Plans!$C$3:$C$300=C18))=0,"PLAN INCONNU","ok"))</f>
        <v/>
      </c>
    </row>
    <row r="19">
      <c r="A19" s="16" t="inlineStr">
        <is>
          <t>high-stakes</t>
        </is>
      </c>
      <c r="B19" s="21" t="n">
        <v>100000</v>
      </c>
      <c r="C19" s="16" t="inlineStr">
        <is>
          <t>NEW</t>
        </is>
      </c>
      <c r="D19" s="16" t="inlineStr">
        <is>
          <t>evaluation_2</t>
        </is>
      </c>
      <c r="E19" s="21" t="n">
        <v>5000</v>
      </c>
      <c r="F19" s="21" t="n">
        <v>8000</v>
      </c>
      <c r="G19" s="16" t="inlineStr">
        <is>
          <t>Static</t>
        </is>
      </c>
      <c r="H19" s="21" t="n">
        <v>4000</v>
      </c>
      <c r="I19" s="23" t="n">
        <v>3</v>
      </c>
      <c r="J19" s="31" t="inlineStr">
        <is>
          <t>aucune</t>
        </is>
      </c>
      <c r="K19" s="23" t="n"/>
      <c r="L19" s="31" t="n"/>
      <c r="M19" s="21" t="n"/>
      <c r="N19" s="21" t="n"/>
      <c r="O19" s="28">
        <f>IF(A19="","",IF(SUMPRODUCT((Plans!$A$3:$A$300=A19)*(Plans!$B$3:$B$300=B19)*(Plans!$C$3:$C$300=C19))=0,"PLAN INCONNU","ok"))</f>
        <v/>
      </c>
    </row>
    <row r="20">
      <c r="A20" s="16" t="inlineStr">
        <is>
          <t>high-stakes</t>
        </is>
      </c>
      <c r="B20" s="21" t="n">
        <v>100000</v>
      </c>
      <c r="C20" s="16" t="inlineStr">
        <is>
          <t>NEW</t>
        </is>
      </c>
      <c r="D20" s="16" t="inlineStr">
        <is>
          <t>funded</t>
        </is>
      </c>
      <c r="E20" s="21" t="n"/>
      <c r="F20" s="21" t="n">
        <v>8000</v>
      </c>
      <c r="G20" s="16" t="inlineStr">
        <is>
          <t>Static</t>
        </is>
      </c>
      <c r="H20" s="21" t="n">
        <v>4000</v>
      </c>
      <c r="I20" s="23" t="n">
        <v>3</v>
      </c>
      <c r="J20" s="31" t="inlineStr">
        <is>
          <t>aucune</t>
        </is>
      </c>
      <c r="K20" s="23" t="n"/>
      <c r="L20" s="31" t="n">
        <v>0.8</v>
      </c>
      <c r="M20" s="21" t="n">
        <v>4000</v>
      </c>
      <c r="N20" s="21" t="n">
        <v>500</v>
      </c>
      <c r="O20" s="28">
        <f>IF(A20="","",IF(SUMPRODUCT((Plans!$A$3:$A$300=A20)*(Plans!$B$3:$B$300=B20)*(Plans!$C$3:$C$300=C20))=0,"PLAN INCONNU","ok"))</f>
        <v/>
      </c>
    </row>
    <row r="21">
      <c r="A21" s="16" t="inlineStr">
        <is>
          <t>high-stakes</t>
        </is>
      </c>
      <c r="B21" s="21" t="n">
        <v>2500</v>
      </c>
      <c r="C21" s="16" t="inlineStr">
        <is>
          <t>Classic</t>
        </is>
      </c>
      <c r="D21" s="16" t="inlineStr">
        <is>
          <t>evaluation</t>
        </is>
      </c>
      <c r="E21" s="21" t="n">
        <v>200</v>
      </c>
      <c r="F21" s="21" t="n">
        <v>250</v>
      </c>
      <c r="G21" s="16" t="inlineStr">
        <is>
          <t>Static</t>
        </is>
      </c>
      <c r="H21" s="21" t="n">
        <v>125</v>
      </c>
      <c r="I21" s="23" t="n">
        <v>3</v>
      </c>
      <c r="J21" s="31" t="inlineStr">
        <is>
          <t>aucune</t>
        </is>
      </c>
      <c r="K21" s="23" t="n"/>
      <c r="L21" s="31" t="n"/>
      <c r="M21" s="21" t="n"/>
      <c r="N21" s="21" t="n"/>
      <c r="O21" s="28">
        <f>IF(A21="","",IF(SUMPRODUCT((Plans!$A$3:$A$300=A21)*(Plans!$B$3:$B$300=B21)*(Plans!$C$3:$C$300=C21))=0,"PLAN INCONNU","ok"))</f>
        <v/>
      </c>
    </row>
    <row r="22">
      <c r="A22" s="16" t="inlineStr">
        <is>
          <t>high-stakes</t>
        </is>
      </c>
      <c r="B22" s="21" t="n">
        <v>2500</v>
      </c>
      <c r="C22" s="16" t="inlineStr">
        <is>
          <t>Classic</t>
        </is>
      </c>
      <c r="D22" s="16" t="inlineStr">
        <is>
          <t>evaluation_2</t>
        </is>
      </c>
      <c r="E22" s="21" t="n">
        <v>125</v>
      </c>
      <c r="F22" s="21" t="n">
        <v>250</v>
      </c>
      <c r="G22" s="16" t="inlineStr">
        <is>
          <t>Static</t>
        </is>
      </c>
      <c r="H22" s="21" t="n">
        <v>125</v>
      </c>
      <c r="I22" s="23" t="n">
        <v>3</v>
      </c>
      <c r="J22" s="31" t="inlineStr">
        <is>
          <t>aucune</t>
        </is>
      </c>
      <c r="K22" s="23" t="n"/>
      <c r="L22" s="31" t="n"/>
      <c r="M22" s="21" t="n"/>
      <c r="N22" s="21" t="n"/>
      <c r="O22" s="28">
        <f>IF(A22="","",IF(SUMPRODUCT((Plans!$A$3:$A$300=A22)*(Plans!$B$3:$B$300=B22)*(Plans!$C$3:$C$300=C22))=0,"PLAN INCONNU","ok"))</f>
        <v/>
      </c>
    </row>
    <row r="23">
      <c r="A23" s="16" t="inlineStr">
        <is>
          <t>high-stakes</t>
        </is>
      </c>
      <c r="B23" s="21" t="n">
        <v>2500</v>
      </c>
      <c r="C23" s="16" t="inlineStr">
        <is>
          <t>Classic</t>
        </is>
      </c>
      <c r="D23" s="16" t="inlineStr">
        <is>
          <t>funded</t>
        </is>
      </c>
      <c r="E23" s="21" t="n"/>
      <c r="F23" s="21" t="n">
        <v>250</v>
      </c>
      <c r="G23" s="16" t="inlineStr">
        <is>
          <t>Static</t>
        </is>
      </c>
      <c r="H23" s="21" t="n">
        <v>125</v>
      </c>
      <c r="I23" s="23" t="n">
        <v>3</v>
      </c>
      <c r="J23" s="31" t="inlineStr">
        <is>
          <t>aucune</t>
        </is>
      </c>
      <c r="K23" s="23" t="n"/>
      <c r="L23" s="31" t="n">
        <v>0.8</v>
      </c>
      <c r="M23" s="21" t="n"/>
      <c r="N23" s="21" t="n"/>
      <c r="O23" s="28">
        <f>IF(A23="","",IF(SUMPRODUCT((Plans!$A$3:$A$300=A23)*(Plans!$B$3:$B$300=B23)*(Plans!$C$3:$C$300=C23))=0,"PLAN INCONNU","ok"))</f>
        <v/>
      </c>
    </row>
    <row r="24">
      <c r="A24" s="16" t="inlineStr">
        <is>
          <t>high-stakes</t>
        </is>
      </c>
      <c r="B24" s="21" t="n">
        <v>5000</v>
      </c>
      <c r="C24" s="16" t="inlineStr">
        <is>
          <t>Classic</t>
        </is>
      </c>
      <c r="D24" s="16" t="inlineStr">
        <is>
          <t>evaluation</t>
        </is>
      </c>
      <c r="E24" s="21" t="n">
        <v>400</v>
      </c>
      <c r="F24" s="21" t="n">
        <v>500</v>
      </c>
      <c r="G24" s="16" t="inlineStr">
        <is>
          <t>Static</t>
        </is>
      </c>
      <c r="H24" s="21" t="n">
        <v>250</v>
      </c>
      <c r="I24" s="23" t="n">
        <v>3</v>
      </c>
      <c r="J24" s="31" t="inlineStr">
        <is>
          <t>aucune</t>
        </is>
      </c>
      <c r="K24" s="23" t="n"/>
      <c r="L24" s="31" t="n"/>
      <c r="M24" s="21" t="n"/>
      <c r="N24" s="21" t="n"/>
      <c r="O24" s="28">
        <f>IF(A24="","",IF(SUMPRODUCT((Plans!$A$3:$A$300=A24)*(Plans!$B$3:$B$300=B24)*(Plans!$C$3:$C$300=C24))=0,"PLAN INCONNU","ok"))</f>
        <v/>
      </c>
    </row>
    <row r="25">
      <c r="A25" s="16" t="inlineStr">
        <is>
          <t>high-stakes</t>
        </is>
      </c>
      <c r="B25" s="21" t="n">
        <v>5000</v>
      </c>
      <c r="C25" s="16" t="inlineStr">
        <is>
          <t>Classic</t>
        </is>
      </c>
      <c r="D25" s="16" t="inlineStr">
        <is>
          <t>evaluation_2</t>
        </is>
      </c>
      <c r="E25" s="21" t="n">
        <v>250</v>
      </c>
      <c r="F25" s="21" t="n">
        <v>500</v>
      </c>
      <c r="G25" s="16" t="inlineStr">
        <is>
          <t>Static</t>
        </is>
      </c>
      <c r="H25" s="21" t="n">
        <v>250</v>
      </c>
      <c r="I25" s="23" t="n">
        <v>3</v>
      </c>
      <c r="J25" s="31" t="inlineStr">
        <is>
          <t>aucune</t>
        </is>
      </c>
      <c r="K25" s="23" t="n"/>
      <c r="L25" s="31" t="n"/>
      <c r="M25" s="21" t="n"/>
      <c r="N25" s="21" t="n"/>
      <c r="O25" s="28">
        <f>IF(A25="","",IF(SUMPRODUCT((Plans!$A$3:$A$300=A25)*(Plans!$B$3:$B$300=B25)*(Plans!$C$3:$C$300=C25))=0,"PLAN INCONNU","ok"))</f>
        <v/>
      </c>
    </row>
    <row r="26">
      <c r="A26" s="16" t="inlineStr">
        <is>
          <t>high-stakes</t>
        </is>
      </c>
      <c r="B26" s="21" t="n">
        <v>5000</v>
      </c>
      <c r="C26" s="16" t="inlineStr">
        <is>
          <t>Classic</t>
        </is>
      </c>
      <c r="D26" s="16" t="inlineStr">
        <is>
          <t>funded</t>
        </is>
      </c>
      <c r="E26" s="21" t="n"/>
      <c r="F26" s="21" t="n">
        <v>500</v>
      </c>
      <c r="G26" s="16" t="inlineStr">
        <is>
          <t>Static</t>
        </is>
      </c>
      <c r="H26" s="21" t="n">
        <v>250</v>
      </c>
      <c r="I26" s="23" t="n">
        <v>3</v>
      </c>
      <c r="J26" s="31" t="inlineStr">
        <is>
          <t>aucune</t>
        </is>
      </c>
      <c r="K26" s="23" t="n"/>
      <c r="L26" s="31" t="n">
        <v>0.8</v>
      </c>
      <c r="M26" s="21" t="n"/>
      <c r="N26" s="21" t="n"/>
      <c r="O26" s="28">
        <f>IF(A26="","",IF(SUMPRODUCT((Plans!$A$3:$A$300=A26)*(Plans!$B$3:$B$300=B26)*(Plans!$C$3:$C$300=C26))=0,"PLAN INCONNU","ok"))</f>
        <v/>
      </c>
    </row>
    <row r="27">
      <c r="A27" s="16" t="inlineStr">
        <is>
          <t>high-stakes</t>
        </is>
      </c>
      <c r="B27" s="21" t="n">
        <v>10000</v>
      </c>
      <c r="C27" s="16" t="inlineStr">
        <is>
          <t>Classic</t>
        </is>
      </c>
      <c r="D27" s="16" t="inlineStr">
        <is>
          <t>evaluation</t>
        </is>
      </c>
      <c r="E27" s="21" t="n">
        <v>800</v>
      </c>
      <c r="F27" s="21" t="n">
        <v>1000</v>
      </c>
      <c r="G27" s="16" t="inlineStr">
        <is>
          <t>Static</t>
        </is>
      </c>
      <c r="H27" s="21" t="n">
        <v>500</v>
      </c>
      <c r="I27" s="23" t="n">
        <v>3</v>
      </c>
      <c r="J27" s="31" t="inlineStr">
        <is>
          <t>aucune</t>
        </is>
      </c>
      <c r="K27" s="23" t="n"/>
      <c r="L27" s="31" t="n"/>
      <c r="M27" s="21" t="n"/>
      <c r="N27" s="21" t="n"/>
      <c r="O27" s="28">
        <f>IF(A27="","",IF(SUMPRODUCT((Plans!$A$3:$A$300=A27)*(Plans!$B$3:$B$300=B27)*(Plans!$C$3:$C$300=C27))=0,"PLAN INCONNU","ok"))</f>
        <v/>
      </c>
    </row>
    <row r="28">
      <c r="A28" s="16" t="inlineStr">
        <is>
          <t>high-stakes</t>
        </is>
      </c>
      <c r="B28" s="21" t="n">
        <v>10000</v>
      </c>
      <c r="C28" s="16" t="inlineStr">
        <is>
          <t>Classic</t>
        </is>
      </c>
      <c r="D28" s="16" t="inlineStr">
        <is>
          <t>evaluation_2</t>
        </is>
      </c>
      <c r="E28" s="21" t="n">
        <v>500</v>
      </c>
      <c r="F28" s="21" t="n">
        <v>1000</v>
      </c>
      <c r="G28" s="16" t="inlineStr">
        <is>
          <t>Static</t>
        </is>
      </c>
      <c r="H28" s="21" t="n">
        <v>500</v>
      </c>
      <c r="I28" s="23" t="n">
        <v>3</v>
      </c>
      <c r="J28" s="31" t="inlineStr">
        <is>
          <t>aucune</t>
        </is>
      </c>
      <c r="K28" s="23" t="n"/>
      <c r="L28" s="31" t="n"/>
      <c r="M28" s="21" t="n"/>
      <c r="N28" s="21" t="n"/>
      <c r="O28" s="28">
        <f>IF(A28="","",IF(SUMPRODUCT((Plans!$A$3:$A$300=A28)*(Plans!$B$3:$B$300=B28)*(Plans!$C$3:$C$300=C28))=0,"PLAN INCONNU","ok"))</f>
        <v/>
      </c>
    </row>
    <row r="29">
      <c r="A29" s="16" t="inlineStr">
        <is>
          <t>high-stakes</t>
        </is>
      </c>
      <c r="B29" s="21" t="n">
        <v>10000</v>
      </c>
      <c r="C29" s="16" t="inlineStr">
        <is>
          <t>Classic</t>
        </is>
      </c>
      <c r="D29" s="16" t="inlineStr">
        <is>
          <t>funded</t>
        </is>
      </c>
      <c r="E29" s="21" t="n"/>
      <c r="F29" s="21" t="n">
        <v>1000</v>
      </c>
      <c r="G29" s="16" t="inlineStr">
        <is>
          <t>Static</t>
        </is>
      </c>
      <c r="H29" s="21" t="n">
        <v>500</v>
      </c>
      <c r="I29" s="23" t="n">
        <v>3</v>
      </c>
      <c r="J29" s="31" t="inlineStr">
        <is>
          <t>aucune</t>
        </is>
      </c>
      <c r="K29" s="23" t="n"/>
      <c r="L29" s="31" t="n">
        <v>0.8</v>
      </c>
      <c r="M29" s="21" t="n"/>
      <c r="N29" s="21" t="n"/>
      <c r="O29" s="28">
        <f>IF(A29="","",IF(SUMPRODUCT((Plans!$A$3:$A$300=A29)*(Plans!$B$3:$B$300=B29)*(Plans!$C$3:$C$300=C29))=0,"PLAN INCONNU","ok"))</f>
        <v/>
      </c>
    </row>
    <row r="30">
      <c r="A30" s="16" t="inlineStr">
        <is>
          <t>high-stakes</t>
        </is>
      </c>
      <c r="B30" s="21" t="n">
        <v>25000</v>
      </c>
      <c r="C30" s="16" t="inlineStr">
        <is>
          <t>Classic</t>
        </is>
      </c>
      <c r="D30" s="16" t="inlineStr">
        <is>
          <t>evaluation</t>
        </is>
      </c>
      <c r="E30" s="21" t="n">
        <v>2000</v>
      </c>
      <c r="F30" s="21" t="n">
        <v>2500</v>
      </c>
      <c r="G30" s="16" t="inlineStr">
        <is>
          <t>Static</t>
        </is>
      </c>
      <c r="H30" s="21" t="n">
        <v>1250</v>
      </c>
      <c r="I30" s="23" t="n">
        <v>3</v>
      </c>
      <c r="J30" s="31" t="inlineStr">
        <is>
          <t>aucune</t>
        </is>
      </c>
      <c r="K30" s="23" t="n"/>
      <c r="L30" s="31" t="n"/>
      <c r="M30" s="21" t="n"/>
      <c r="N30" s="21" t="n"/>
      <c r="O30" s="28">
        <f>IF(A30="","",IF(SUMPRODUCT((Plans!$A$3:$A$300=A30)*(Plans!$B$3:$B$300=B30)*(Plans!$C$3:$C$300=C30))=0,"PLAN INCONNU","ok"))</f>
        <v/>
      </c>
    </row>
    <row r="31">
      <c r="A31" s="16" t="inlineStr">
        <is>
          <t>high-stakes</t>
        </is>
      </c>
      <c r="B31" s="21" t="n">
        <v>25000</v>
      </c>
      <c r="C31" s="16" t="inlineStr">
        <is>
          <t>Classic</t>
        </is>
      </c>
      <c r="D31" s="16" t="inlineStr">
        <is>
          <t>evaluation_2</t>
        </is>
      </c>
      <c r="E31" s="21" t="n">
        <v>1250</v>
      </c>
      <c r="F31" s="21" t="n">
        <v>2500</v>
      </c>
      <c r="G31" s="16" t="inlineStr">
        <is>
          <t>Static</t>
        </is>
      </c>
      <c r="H31" s="21" t="n">
        <v>1250</v>
      </c>
      <c r="I31" s="23" t="n">
        <v>3</v>
      </c>
      <c r="J31" s="31" t="inlineStr">
        <is>
          <t>aucune</t>
        </is>
      </c>
      <c r="K31" s="23" t="n"/>
      <c r="L31" s="31" t="n"/>
      <c r="M31" s="21" t="n"/>
      <c r="N31" s="21" t="n"/>
      <c r="O31" s="28">
        <f>IF(A31="","",IF(SUMPRODUCT((Plans!$A$3:$A$300=A31)*(Plans!$B$3:$B$300=B31)*(Plans!$C$3:$C$300=C31))=0,"PLAN INCONNU","ok"))</f>
        <v/>
      </c>
    </row>
    <row r="32">
      <c r="A32" s="16" t="inlineStr">
        <is>
          <t>high-stakes</t>
        </is>
      </c>
      <c r="B32" s="21" t="n">
        <v>25000</v>
      </c>
      <c r="C32" s="16" t="inlineStr">
        <is>
          <t>Classic</t>
        </is>
      </c>
      <c r="D32" s="16" t="inlineStr">
        <is>
          <t>funded</t>
        </is>
      </c>
      <c r="E32" s="21" t="n"/>
      <c r="F32" s="21" t="n">
        <v>2500</v>
      </c>
      <c r="G32" s="16" t="inlineStr">
        <is>
          <t>Static</t>
        </is>
      </c>
      <c r="H32" s="21" t="n">
        <v>1250</v>
      </c>
      <c r="I32" s="23" t="n">
        <v>3</v>
      </c>
      <c r="J32" s="31" t="inlineStr">
        <is>
          <t>aucune</t>
        </is>
      </c>
      <c r="K32" s="23" t="n"/>
      <c r="L32" s="31" t="n">
        <v>0.8</v>
      </c>
      <c r="M32" s="21" t="n"/>
      <c r="N32" s="21" t="n"/>
      <c r="O32" s="28">
        <f>IF(A32="","",IF(SUMPRODUCT((Plans!$A$3:$A$300=A32)*(Plans!$B$3:$B$300=B32)*(Plans!$C$3:$C$300=C32))=0,"PLAN INCONNU","ok"))</f>
        <v/>
      </c>
    </row>
    <row r="33">
      <c r="A33" s="16" t="inlineStr">
        <is>
          <t>high-stakes</t>
        </is>
      </c>
      <c r="B33" s="21" t="n">
        <v>50000</v>
      </c>
      <c r="C33" s="16" t="inlineStr">
        <is>
          <t>Classic</t>
        </is>
      </c>
      <c r="D33" s="16" t="inlineStr">
        <is>
          <t>evaluation</t>
        </is>
      </c>
      <c r="E33" s="21" t="n">
        <v>4000</v>
      </c>
      <c r="F33" s="21" t="n">
        <v>4000</v>
      </c>
      <c r="G33" s="16" t="inlineStr">
        <is>
          <t>Static</t>
        </is>
      </c>
      <c r="H33" s="21" t="n">
        <v>2000</v>
      </c>
      <c r="I33" s="23" t="n">
        <v>3</v>
      </c>
      <c r="J33" s="31" t="inlineStr">
        <is>
          <t>aucune</t>
        </is>
      </c>
      <c r="K33" s="23" t="n"/>
      <c r="L33" s="31" t="n"/>
      <c r="M33" s="21" t="n"/>
      <c r="N33" s="21" t="n"/>
      <c r="O33" s="28">
        <f>IF(A33="","",IF(SUMPRODUCT((Plans!$A$3:$A$300=A33)*(Plans!$B$3:$B$300=B33)*(Plans!$C$3:$C$300=C33))=0,"PLAN INCONNU","ok"))</f>
        <v/>
      </c>
    </row>
    <row r="34">
      <c r="A34" s="16" t="inlineStr">
        <is>
          <t>high-stakes</t>
        </is>
      </c>
      <c r="B34" s="21" t="n">
        <v>50000</v>
      </c>
      <c r="C34" s="16" t="inlineStr">
        <is>
          <t>Classic</t>
        </is>
      </c>
      <c r="D34" s="16" t="inlineStr">
        <is>
          <t>evaluation_2</t>
        </is>
      </c>
      <c r="E34" s="21" t="n">
        <v>2500</v>
      </c>
      <c r="F34" s="21" t="n">
        <v>4000</v>
      </c>
      <c r="G34" s="16" t="inlineStr">
        <is>
          <t>Static</t>
        </is>
      </c>
      <c r="H34" s="21" t="n">
        <v>2000</v>
      </c>
      <c r="I34" s="23" t="n">
        <v>3</v>
      </c>
      <c r="J34" s="31" t="inlineStr">
        <is>
          <t>aucune</t>
        </is>
      </c>
      <c r="K34" s="23" t="n"/>
      <c r="L34" s="31" t="n"/>
      <c r="M34" s="21" t="n"/>
      <c r="N34" s="21" t="n"/>
      <c r="O34" s="28">
        <f>IF(A34="","",IF(SUMPRODUCT((Plans!$A$3:$A$300=A34)*(Plans!$B$3:$B$300=B34)*(Plans!$C$3:$C$300=C34))=0,"PLAN INCONNU","ok"))</f>
        <v/>
      </c>
    </row>
    <row r="35">
      <c r="A35" s="16" t="inlineStr">
        <is>
          <t>high-stakes</t>
        </is>
      </c>
      <c r="B35" s="21" t="n">
        <v>50000</v>
      </c>
      <c r="C35" s="16" t="inlineStr">
        <is>
          <t>Classic</t>
        </is>
      </c>
      <c r="D35" s="16" t="inlineStr">
        <is>
          <t>funded</t>
        </is>
      </c>
      <c r="E35" s="21" t="n"/>
      <c r="F35" s="21" t="n">
        <v>4000</v>
      </c>
      <c r="G35" s="16" t="inlineStr">
        <is>
          <t>Static</t>
        </is>
      </c>
      <c r="H35" s="21" t="n">
        <v>2000</v>
      </c>
      <c r="I35" s="23" t="n">
        <v>3</v>
      </c>
      <c r="J35" s="31" t="inlineStr">
        <is>
          <t>aucune</t>
        </is>
      </c>
      <c r="K35" s="23" t="n"/>
      <c r="L35" s="31" t="n">
        <v>0.8</v>
      </c>
      <c r="M35" s="21" t="n">
        <v>3000</v>
      </c>
      <c r="N35" s="21" t="n">
        <v>300</v>
      </c>
      <c r="O35" s="28">
        <f>IF(A35="","",IF(SUMPRODUCT((Plans!$A$3:$A$300=A35)*(Plans!$B$3:$B$300=B35)*(Plans!$C$3:$C$300=C35))=0,"PLAN INCONNU","ok"))</f>
        <v/>
      </c>
    </row>
    <row r="36">
      <c r="A36" s="16" t="inlineStr">
        <is>
          <t>high-stakes</t>
        </is>
      </c>
      <c r="B36" s="21" t="n">
        <v>100000</v>
      </c>
      <c r="C36" s="16" t="inlineStr">
        <is>
          <t>Classic</t>
        </is>
      </c>
      <c r="D36" s="16" t="inlineStr">
        <is>
          <t>evaluation</t>
        </is>
      </c>
      <c r="E36" s="21" t="n">
        <v>8000</v>
      </c>
      <c r="F36" s="21" t="n">
        <v>8000</v>
      </c>
      <c r="G36" s="16" t="inlineStr">
        <is>
          <t>Static</t>
        </is>
      </c>
      <c r="H36" s="21" t="n">
        <v>4000</v>
      </c>
      <c r="I36" s="23" t="n">
        <v>3</v>
      </c>
      <c r="J36" s="31" t="inlineStr">
        <is>
          <t>aucune</t>
        </is>
      </c>
      <c r="K36" s="23" t="n"/>
      <c r="L36" s="31" t="n"/>
      <c r="M36" s="21" t="n"/>
      <c r="N36" s="21" t="n"/>
      <c r="O36" s="28">
        <f>IF(A36="","",IF(SUMPRODUCT((Plans!$A$3:$A$300=A36)*(Plans!$B$3:$B$300=B36)*(Plans!$C$3:$C$300=C36))=0,"PLAN INCONNU","ok"))</f>
        <v/>
      </c>
    </row>
    <row r="37">
      <c r="A37" s="16" t="inlineStr">
        <is>
          <t>high-stakes</t>
        </is>
      </c>
      <c r="B37" s="21" t="n">
        <v>100000</v>
      </c>
      <c r="C37" s="16" t="inlineStr">
        <is>
          <t>Classic</t>
        </is>
      </c>
      <c r="D37" s="16" t="inlineStr">
        <is>
          <t>evaluation_2</t>
        </is>
      </c>
      <c r="E37" s="21" t="n">
        <v>5000</v>
      </c>
      <c r="F37" s="21" t="n">
        <v>8000</v>
      </c>
      <c r="G37" s="16" t="inlineStr">
        <is>
          <t>Static</t>
        </is>
      </c>
      <c r="H37" s="21" t="n">
        <v>4000</v>
      </c>
      <c r="I37" s="23" t="n">
        <v>3</v>
      </c>
      <c r="J37" s="31" t="inlineStr">
        <is>
          <t>aucune</t>
        </is>
      </c>
      <c r="K37" s="23" t="n"/>
      <c r="L37" s="31" t="n"/>
      <c r="M37" s="21" t="n"/>
      <c r="N37" s="21" t="n"/>
      <c r="O37" s="28">
        <f>IF(A37="","",IF(SUMPRODUCT((Plans!$A$3:$A$300=A37)*(Plans!$B$3:$B$300=B37)*(Plans!$C$3:$C$300=C37))=0,"PLAN INCONNU","ok"))</f>
        <v/>
      </c>
    </row>
    <row r="38">
      <c r="A38" s="16" t="inlineStr">
        <is>
          <t>high-stakes</t>
        </is>
      </c>
      <c r="B38" s="21" t="n">
        <v>100000</v>
      </c>
      <c r="C38" s="16" t="inlineStr">
        <is>
          <t>Classic</t>
        </is>
      </c>
      <c r="D38" s="16" t="inlineStr">
        <is>
          <t>funded</t>
        </is>
      </c>
      <c r="E38" s="21" t="n"/>
      <c r="F38" s="21" t="n">
        <v>8000</v>
      </c>
      <c r="G38" s="16" t="inlineStr">
        <is>
          <t>Static</t>
        </is>
      </c>
      <c r="H38" s="21" t="n">
        <v>4000</v>
      </c>
      <c r="I38" s="23" t="n">
        <v>3</v>
      </c>
      <c r="J38" s="31" t="inlineStr">
        <is>
          <t>aucune</t>
        </is>
      </c>
      <c r="K38" s="23" t="n"/>
      <c r="L38" s="31" t="n">
        <v>0.8</v>
      </c>
      <c r="M38" s="21" t="n">
        <v>4000</v>
      </c>
      <c r="N38" s="21" t="n">
        <v>500</v>
      </c>
      <c r="O38" s="28">
        <f>IF(A38="","",IF(SUMPRODUCT((Plans!$A$3:$A$300=A38)*(Plans!$B$3:$B$300=B38)*(Plans!$C$3:$C$300=C38))=0,"PLAN INCONNU","ok"))</f>
        <v/>
      </c>
    </row>
    <row r="39">
      <c r="A39" s="16" t="inlineStr">
        <is>
          <t>pro-growth</t>
        </is>
      </c>
      <c r="B39" s="21" t="n">
        <v>5000</v>
      </c>
      <c r="C39" s="16" t="n"/>
      <c r="D39" s="16" t="inlineStr">
        <is>
          <t>evaluation</t>
        </is>
      </c>
      <c r="E39" s="21" t="n">
        <v>500</v>
      </c>
      <c r="F39" s="21" t="n">
        <v>300</v>
      </c>
      <c r="G39" s="16" t="inlineStr">
        <is>
          <t>Static</t>
        </is>
      </c>
      <c r="H39" s="21" t="n">
        <v>150</v>
      </c>
      <c r="I39" s="23" t="n">
        <v>3</v>
      </c>
      <c r="J39" s="31" t="inlineStr">
        <is>
          <t>aucune</t>
        </is>
      </c>
      <c r="K39" s="23" t="n"/>
      <c r="L39" s="31" t="n"/>
      <c r="M39" s="21" t="n"/>
      <c r="N39" s="21" t="n"/>
      <c r="O39" s="28">
        <f>IF(A39="","",IF(SUMPRODUCT((Plans!$A$3:$A$300=A39)*(Plans!$B$3:$B$300=B39)*(Plans!$C$3:$C$300=C39))=0,"PLAN INCONNU","ok"))</f>
        <v/>
      </c>
    </row>
    <row r="40">
      <c r="A40" s="16" t="inlineStr">
        <is>
          <t>pro-growth</t>
        </is>
      </c>
      <c r="B40" s="21" t="n">
        <v>5000</v>
      </c>
      <c r="C40" s="16" t="n"/>
      <c r="D40" s="16" t="inlineStr">
        <is>
          <t>funded</t>
        </is>
      </c>
      <c r="E40" s="21" t="n"/>
      <c r="F40" s="21" t="n">
        <v>300</v>
      </c>
      <c r="G40" s="16" t="inlineStr">
        <is>
          <t>Static</t>
        </is>
      </c>
      <c r="H40" s="21" t="n">
        <v>150</v>
      </c>
      <c r="I40" s="23" t="n">
        <v>0</v>
      </c>
      <c r="J40" s="31" t="inlineStr">
        <is>
          <t>aucune</t>
        </is>
      </c>
      <c r="K40" s="23" t="n"/>
      <c r="L40" s="31" t="n">
        <v>0.75</v>
      </c>
      <c r="M40" s="21" t="n"/>
      <c r="N40" s="21" t="n">
        <v>150</v>
      </c>
      <c r="O40" s="28">
        <f>IF(A40="","",IF(SUMPRODUCT((Plans!$A$3:$A$300=A40)*(Plans!$B$3:$B$300=B40)*(Plans!$C$3:$C$300=C40))=0,"PLAN INCONNU","ok"))</f>
        <v/>
      </c>
    </row>
    <row r="41">
      <c r="A41" s="16" t="inlineStr">
        <is>
          <t>pro-growth</t>
        </is>
      </c>
      <c r="B41" s="21" t="n">
        <v>10000</v>
      </c>
      <c r="C41" s="16" t="n"/>
      <c r="D41" s="16" t="inlineStr">
        <is>
          <t>evaluation</t>
        </is>
      </c>
      <c r="E41" s="21" t="n">
        <v>1000</v>
      </c>
      <c r="F41" s="21" t="n">
        <v>600</v>
      </c>
      <c r="G41" s="16" t="inlineStr">
        <is>
          <t>Static</t>
        </is>
      </c>
      <c r="H41" s="21" t="n">
        <v>300</v>
      </c>
      <c r="I41" s="23" t="n">
        <v>3</v>
      </c>
      <c r="J41" s="31" t="inlineStr">
        <is>
          <t>aucune</t>
        </is>
      </c>
      <c r="K41" s="23" t="n"/>
      <c r="L41" s="31" t="n"/>
      <c r="M41" s="21" t="n"/>
      <c r="N41" s="21" t="n"/>
      <c r="O41" s="28">
        <f>IF(A41="","",IF(SUMPRODUCT((Plans!$A$3:$A$300=A41)*(Plans!$B$3:$B$300=B41)*(Plans!$C$3:$C$300=C41))=0,"PLAN INCONNU","ok"))</f>
        <v/>
      </c>
    </row>
    <row r="42">
      <c r="A42" s="16" t="inlineStr">
        <is>
          <t>pro-growth</t>
        </is>
      </c>
      <c r="B42" s="21" t="n">
        <v>10000</v>
      </c>
      <c r="C42" s="16" t="n"/>
      <c r="D42" s="16" t="inlineStr">
        <is>
          <t>funded</t>
        </is>
      </c>
      <c r="E42" s="21" t="n"/>
      <c r="F42" s="21" t="n">
        <v>600</v>
      </c>
      <c r="G42" s="16" t="inlineStr">
        <is>
          <t>Static</t>
        </is>
      </c>
      <c r="H42" s="21" t="n">
        <v>300</v>
      </c>
      <c r="I42" s="23" t="n">
        <v>0</v>
      </c>
      <c r="J42" s="31" t="inlineStr">
        <is>
          <t>aucune</t>
        </is>
      </c>
      <c r="K42" s="23" t="n"/>
      <c r="L42" s="31" t="n">
        <v>0.75</v>
      </c>
      <c r="M42" s="21" t="n"/>
      <c r="N42" s="21" t="n">
        <v>150</v>
      </c>
      <c r="O42" s="28">
        <f>IF(A42="","",IF(SUMPRODUCT((Plans!$A$3:$A$300=A42)*(Plans!$B$3:$B$300=B42)*(Plans!$C$3:$C$300=C42))=0,"PLAN INCONNU","ok"))</f>
        <v/>
      </c>
    </row>
    <row r="43">
      <c r="A43" s="16" t="inlineStr">
        <is>
          <t>pro-growth</t>
        </is>
      </c>
      <c r="B43" s="21" t="n">
        <v>20000</v>
      </c>
      <c r="C43" s="16" t="n"/>
      <c r="D43" s="16" t="inlineStr">
        <is>
          <t>evaluation</t>
        </is>
      </c>
      <c r="E43" s="21" t="n">
        <v>2000</v>
      </c>
      <c r="F43" s="21" t="n">
        <v>1200</v>
      </c>
      <c r="G43" s="16" t="inlineStr">
        <is>
          <t>Static</t>
        </is>
      </c>
      <c r="H43" s="21" t="n">
        <v>600</v>
      </c>
      <c r="I43" s="23" t="n">
        <v>3</v>
      </c>
      <c r="J43" s="31" t="inlineStr">
        <is>
          <t>aucune</t>
        </is>
      </c>
      <c r="K43" s="23" t="n"/>
      <c r="L43" s="31" t="n"/>
      <c r="M43" s="21" t="n"/>
      <c r="N43" s="21" t="n"/>
      <c r="O43" s="28">
        <f>IF(A43="","",IF(SUMPRODUCT((Plans!$A$3:$A$300=A43)*(Plans!$B$3:$B$300=B43)*(Plans!$C$3:$C$300=C43))=0,"PLAN INCONNU","ok"))</f>
        <v/>
      </c>
    </row>
    <row r="44">
      <c r="A44" s="16" t="inlineStr">
        <is>
          <t>pro-growth</t>
        </is>
      </c>
      <c r="B44" s="21" t="n">
        <v>20000</v>
      </c>
      <c r="C44" s="16" t="n"/>
      <c r="D44" s="16" t="inlineStr">
        <is>
          <t>funded</t>
        </is>
      </c>
      <c r="E44" s="21" t="n"/>
      <c r="F44" s="21" t="n">
        <v>1200</v>
      </c>
      <c r="G44" s="16" t="inlineStr">
        <is>
          <t>Static</t>
        </is>
      </c>
      <c r="H44" s="21" t="n">
        <v>600</v>
      </c>
      <c r="I44" s="23" t="n">
        <v>0</v>
      </c>
      <c r="J44" s="31" t="inlineStr">
        <is>
          <t>aucune</t>
        </is>
      </c>
      <c r="K44" s="23" t="n"/>
      <c r="L44" s="31" t="n">
        <v>0.75</v>
      </c>
      <c r="M44" s="21" t="n"/>
      <c r="N44" s="21" t="n">
        <v>150</v>
      </c>
      <c r="O44" s="28">
        <f>IF(A44="","",IF(SUMPRODUCT((Plans!$A$3:$A$300=A44)*(Plans!$B$3:$B$300=B44)*(Plans!$C$3:$C$300=C44))=0,"PLAN INCONNU","ok"))</f>
        <v/>
      </c>
    </row>
    <row r="45">
      <c r="A45" s="16" t="inlineStr">
        <is>
          <t>pro-growth</t>
        </is>
      </c>
      <c r="B45" s="21" t="n">
        <v>50000</v>
      </c>
      <c r="C45" s="16" t="n"/>
      <c r="D45" s="16" t="inlineStr">
        <is>
          <t>evaluation</t>
        </is>
      </c>
      <c r="E45" s="21" t="n">
        <v>5000</v>
      </c>
      <c r="F45" s="21" t="n">
        <v>3000</v>
      </c>
      <c r="G45" s="16" t="inlineStr">
        <is>
          <t>Static</t>
        </is>
      </c>
      <c r="H45" s="21" t="n">
        <v>1500</v>
      </c>
      <c r="I45" s="23" t="n">
        <v>3</v>
      </c>
      <c r="J45" s="31" t="inlineStr">
        <is>
          <t>aucune</t>
        </is>
      </c>
      <c r="K45" s="23" t="n"/>
      <c r="L45" s="31" t="n"/>
      <c r="M45" s="21" t="n"/>
      <c r="N45" s="21" t="n"/>
      <c r="O45" s="28">
        <f>IF(A45="","",IF(SUMPRODUCT((Plans!$A$3:$A$300=A45)*(Plans!$B$3:$B$300=B45)*(Plans!$C$3:$C$300=C45))=0,"PLAN INCONNU","ok"))</f>
        <v/>
      </c>
    </row>
    <row r="46">
      <c r="A46" s="16" t="inlineStr">
        <is>
          <t>pro-growth</t>
        </is>
      </c>
      <c r="B46" s="21" t="n">
        <v>50000</v>
      </c>
      <c r="C46" s="16" t="n"/>
      <c r="D46" s="16" t="inlineStr">
        <is>
          <t>funded</t>
        </is>
      </c>
      <c r="E46" s="21" t="n"/>
      <c r="F46" s="21" t="n">
        <v>3000</v>
      </c>
      <c r="G46" s="16" t="inlineStr">
        <is>
          <t>Static</t>
        </is>
      </c>
      <c r="H46" s="21" t="n">
        <v>1500</v>
      </c>
      <c r="I46" s="23" t="n">
        <v>0</v>
      </c>
      <c r="J46" s="31" t="inlineStr">
        <is>
          <t>aucune</t>
        </is>
      </c>
      <c r="K46" s="23" t="n"/>
      <c r="L46" s="31" t="n">
        <v>0.75</v>
      </c>
      <c r="M46" s="21" t="n"/>
      <c r="N46" s="21" t="n">
        <v>150</v>
      </c>
      <c r="O46" s="28">
        <f>IF(A46="","",IF(SUMPRODUCT((Plans!$A$3:$A$300=A46)*(Plans!$B$3:$B$300=B46)*(Plans!$C$3:$C$300=C46))=0,"PLAN INCONNU","ok"))</f>
        <v/>
      </c>
    </row>
    <row r="47">
      <c r="A47" s="16" t="inlineStr">
        <is>
          <t>hyper-growth</t>
        </is>
      </c>
      <c r="B47" s="21" t="n">
        <v>5000</v>
      </c>
      <c r="C47" s="16" t="n"/>
      <c r="D47" s="16" t="inlineStr">
        <is>
          <t>funded</t>
        </is>
      </c>
      <c r="E47" s="21" t="n">
        <v>500</v>
      </c>
      <c r="F47" s="21" t="n">
        <v>300</v>
      </c>
      <c r="G47" s="16" t="inlineStr">
        <is>
          <t>Static</t>
        </is>
      </c>
      <c r="H47" s="21" t="n">
        <v>150</v>
      </c>
      <c r="I47" s="23" t="n">
        <v>0</v>
      </c>
      <c r="J47" s="31" t="inlineStr">
        <is>
          <t>aucune</t>
        </is>
      </c>
      <c r="K47" s="23" t="n"/>
      <c r="L47" s="31" t="n">
        <v>0.5</v>
      </c>
      <c r="M47" s="21" t="n"/>
      <c r="N47" s="21" t="n">
        <v>150</v>
      </c>
      <c r="O47" s="28">
        <f>IF(A47="","",IF(SUMPRODUCT((Plans!$A$3:$A$300=A47)*(Plans!$B$3:$B$300=B47)*(Plans!$C$3:$C$300=C47))=0,"PLAN INCONNU","ok"))</f>
        <v/>
      </c>
    </row>
    <row r="48">
      <c r="A48" s="16" t="inlineStr">
        <is>
          <t>hyper-growth</t>
        </is>
      </c>
      <c r="B48" s="21" t="n">
        <v>10000</v>
      </c>
      <c r="C48" s="16" t="n"/>
      <c r="D48" s="16" t="inlineStr">
        <is>
          <t>funded</t>
        </is>
      </c>
      <c r="E48" s="21" t="n">
        <v>1000</v>
      </c>
      <c r="F48" s="21" t="n">
        <v>600</v>
      </c>
      <c r="G48" s="16" t="inlineStr">
        <is>
          <t>Static</t>
        </is>
      </c>
      <c r="H48" s="21" t="n">
        <v>300</v>
      </c>
      <c r="I48" s="23" t="n">
        <v>0</v>
      </c>
      <c r="J48" s="31" t="inlineStr">
        <is>
          <t>aucune</t>
        </is>
      </c>
      <c r="K48" s="23" t="n"/>
      <c r="L48" s="31" t="n">
        <v>0.5</v>
      </c>
      <c r="M48" s="21" t="n"/>
      <c r="N48" s="21" t="n">
        <v>150</v>
      </c>
      <c r="O48" s="28">
        <f>IF(A48="","",IF(SUMPRODUCT((Plans!$A$3:$A$300=A48)*(Plans!$B$3:$B$300=B48)*(Plans!$C$3:$C$300=C48))=0,"PLAN INCONNU","ok"))</f>
        <v/>
      </c>
    </row>
    <row r="49">
      <c r="A49" s="16" t="inlineStr">
        <is>
          <t>hyper-growth</t>
        </is>
      </c>
      <c r="B49" s="21" t="n">
        <v>20000</v>
      </c>
      <c r="C49" s="16" t="n"/>
      <c r="D49" s="16" t="inlineStr">
        <is>
          <t>funded</t>
        </is>
      </c>
      <c r="E49" s="21" t="n">
        <v>2000</v>
      </c>
      <c r="F49" s="21" t="n">
        <v>1200</v>
      </c>
      <c r="G49" s="16" t="inlineStr">
        <is>
          <t>Static</t>
        </is>
      </c>
      <c r="H49" s="21" t="n">
        <v>600</v>
      </c>
      <c r="I49" s="23" t="n">
        <v>0</v>
      </c>
      <c r="J49" s="31" t="inlineStr">
        <is>
          <t>aucune</t>
        </is>
      </c>
      <c r="K49" s="23" t="n"/>
      <c r="L49" s="31" t="n">
        <v>0.5</v>
      </c>
      <c r="M49" s="21" t="n"/>
      <c r="N49" s="21" t="n">
        <v>150</v>
      </c>
      <c r="O49" s="28">
        <f>IF(A49="","",IF(SUMPRODUCT((Plans!$A$3:$A$300=A49)*(Plans!$B$3:$B$300=B49)*(Plans!$C$3:$C$300=C49))=0,"PLAN INCONNU","ok"))</f>
        <v/>
      </c>
    </row>
    <row r="50">
      <c r="A50" s="16" t="inlineStr">
        <is>
          <t>bootcamp</t>
        </is>
      </c>
      <c r="B50" s="21" t="n">
        <v>20000</v>
      </c>
      <c r="C50" s="16" t="n"/>
      <c r="D50" s="16" t="inlineStr">
        <is>
          <t>evaluation</t>
        </is>
      </c>
      <c r="E50" s="21" t="n">
        <v>300</v>
      </c>
      <c r="F50" s="21" t="n">
        <v>250</v>
      </c>
      <c r="G50" s="16" t="inlineStr">
        <is>
          <t>Static</t>
        </is>
      </c>
      <c r="H50" s="21" t="inlineStr">
        <is>
          <t>aucune</t>
        </is>
      </c>
      <c r="I50" s="23" t="n">
        <v>0</v>
      </c>
      <c r="J50" s="31" t="inlineStr">
        <is>
          <t>aucune</t>
        </is>
      </c>
      <c r="K50" s="23" t="n"/>
      <c r="L50" s="31" t="n"/>
      <c r="M50" s="21" t="n"/>
      <c r="N50" s="21" t="n"/>
      <c r="O50" s="28">
        <f>IF(A50="","",IF(SUMPRODUCT((Plans!$A$3:$A$300=A50)*(Plans!$B$3:$B$300=B50)*(Plans!$C$3:$C$300=C50))=0,"PLAN INCONNU","ok"))</f>
        <v/>
      </c>
    </row>
    <row r="51">
      <c r="A51" s="16" t="inlineStr">
        <is>
          <t>bootcamp</t>
        </is>
      </c>
      <c r="B51" s="21" t="n">
        <v>20000</v>
      </c>
      <c r="C51" s="16" t="n"/>
      <c r="D51" s="16" t="inlineStr">
        <is>
          <t>evaluation_2</t>
        </is>
      </c>
      <c r="E51" s="21" t="n">
        <v>600</v>
      </c>
      <c r="F51" s="21" t="n">
        <v>500</v>
      </c>
      <c r="G51" s="16" t="inlineStr">
        <is>
          <t>Static</t>
        </is>
      </c>
      <c r="H51" s="21" t="inlineStr">
        <is>
          <t>aucune</t>
        </is>
      </c>
      <c r="I51" s="23" t="n">
        <v>0</v>
      </c>
      <c r="J51" s="31" t="inlineStr">
        <is>
          <t>aucune</t>
        </is>
      </c>
      <c r="K51" s="23" t="n"/>
      <c r="L51" s="31" t="n"/>
      <c r="M51" s="21" t="n"/>
      <c r="N51" s="21" t="n"/>
      <c r="O51" s="28">
        <f>IF(A51="","",IF(SUMPRODUCT((Plans!$A$3:$A$300=A51)*(Plans!$B$3:$B$300=B51)*(Plans!$C$3:$C$300=C51))=0,"PLAN INCONNU","ok"))</f>
        <v/>
      </c>
    </row>
    <row r="52">
      <c r="A52" s="16" t="inlineStr">
        <is>
          <t>bootcamp</t>
        </is>
      </c>
      <c r="B52" s="21" t="n">
        <v>20000</v>
      </c>
      <c r="C52" s="16" t="n"/>
      <c r="D52" s="16" t="inlineStr">
        <is>
          <t>evaluation_3</t>
        </is>
      </c>
      <c r="E52" s="21" t="n">
        <v>900</v>
      </c>
      <c r="F52" s="21" t="n">
        <v>750</v>
      </c>
      <c r="G52" s="16" t="inlineStr">
        <is>
          <t>Static</t>
        </is>
      </c>
      <c r="H52" s="21" t="inlineStr">
        <is>
          <t>aucune</t>
        </is>
      </c>
      <c r="I52" s="23" t="n">
        <v>0</v>
      </c>
      <c r="J52" s="31" t="inlineStr">
        <is>
          <t>aucune</t>
        </is>
      </c>
      <c r="K52" s="23" t="n"/>
      <c r="L52" s="31" t="n"/>
      <c r="M52" s="21" t="n"/>
      <c r="N52" s="21" t="n"/>
      <c r="O52" s="28">
        <f>IF(A52="","",IF(SUMPRODUCT((Plans!$A$3:$A$300=A52)*(Plans!$B$3:$B$300=B52)*(Plans!$C$3:$C$300=C52))=0,"PLAN INCONNU","ok"))</f>
        <v/>
      </c>
    </row>
    <row r="53">
      <c r="A53" s="16" t="inlineStr">
        <is>
          <t>bootcamp</t>
        </is>
      </c>
      <c r="B53" s="21" t="n">
        <v>20000</v>
      </c>
      <c r="C53" s="16" t="n"/>
      <c r="D53" s="16" t="inlineStr">
        <is>
          <t>funded</t>
        </is>
      </c>
      <c r="E53" s="21" t="n">
        <v>1000</v>
      </c>
      <c r="F53" s="21" t="n">
        <v>800</v>
      </c>
      <c r="G53" s="16" t="inlineStr">
        <is>
          <t>Static</t>
        </is>
      </c>
      <c r="H53" s="21" t="n">
        <v>600</v>
      </c>
      <c r="I53" s="23" t="n">
        <v>0</v>
      </c>
      <c r="J53" s="31" t="inlineStr">
        <is>
          <t>aucune</t>
        </is>
      </c>
      <c r="K53" s="23" t="n"/>
      <c r="L53" s="31" t="n">
        <v>0.5</v>
      </c>
      <c r="M53" s="21" t="n"/>
      <c r="N53" s="21" t="n"/>
      <c r="O53" s="28">
        <f>IF(A53="","",IF(SUMPRODUCT((Plans!$A$3:$A$300=A53)*(Plans!$B$3:$B$300=B53)*(Plans!$C$3:$C$300=C53))=0,"PLAN INCONNU","ok"))</f>
        <v/>
      </c>
    </row>
    <row r="54">
      <c r="A54" s="16" t="inlineStr">
        <is>
          <t>bootcamp</t>
        </is>
      </c>
      <c r="B54" s="21" t="n">
        <v>100000</v>
      </c>
      <c r="C54" s="16" t="n"/>
      <c r="D54" s="16" t="inlineStr">
        <is>
          <t>evaluation</t>
        </is>
      </c>
      <c r="E54" s="21" t="n">
        <v>1500</v>
      </c>
      <c r="F54" s="21" t="n">
        <v>1250</v>
      </c>
      <c r="G54" s="16" t="inlineStr">
        <is>
          <t>Static</t>
        </is>
      </c>
      <c r="H54" s="21" t="inlineStr">
        <is>
          <t>aucune</t>
        </is>
      </c>
      <c r="I54" s="23" t="n">
        <v>0</v>
      </c>
      <c r="J54" s="31" t="inlineStr">
        <is>
          <t>aucune</t>
        </is>
      </c>
      <c r="K54" s="23" t="n"/>
      <c r="L54" s="31" t="n"/>
      <c r="M54" s="21" t="n"/>
      <c r="N54" s="21" t="n"/>
      <c r="O54" s="28">
        <f>IF(A54="","",IF(SUMPRODUCT((Plans!$A$3:$A$300=A54)*(Plans!$B$3:$B$300=B54)*(Plans!$C$3:$C$300=C54))=0,"PLAN INCONNU","ok"))</f>
        <v/>
      </c>
    </row>
    <row r="55">
      <c r="A55" s="16" t="inlineStr">
        <is>
          <t>bootcamp</t>
        </is>
      </c>
      <c r="B55" s="21" t="n">
        <v>100000</v>
      </c>
      <c r="C55" s="16" t="n"/>
      <c r="D55" s="16" t="inlineStr">
        <is>
          <t>evaluation_2</t>
        </is>
      </c>
      <c r="E55" s="21" t="n">
        <v>3000</v>
      </c>
      <c r="F55" s="21" t="n">
        <v>2500</v>
      </c>
      <c r="G55" s="16" t="inlineStr">
        <is>
          <t>Static</t>
        </is>
      </c>
      <c r="H55" s="21" t="inlineStr">
        <is>
          <t>aucune</t>
        </is>
      </c>
      <c r="I55" s="23" t="n">
        <v>0</v>
      </c>
      <c r="J55" s="31" t="inlineStr">
        <is>
          <t>aucune</t>
        </is>
      </c>
      <c r="K55" s="23" t="n"/>
      <c r="L55" s="31" t="n"/>
      <c r="M55" s="21" t="n"/>
      <c r="N55" s="21" t="n"/>
      <c r="O55" s="28">
        <f>IF(A55="","",IF(SUMPRODUCT((Plans!$A$3:$A$300=A55)*(Plans!$B$3:$B$300=B55)*(Plans!$C$3:$C$300=C55))=0,"PLAN INCONNU","ok"))</f>
        <v/>
      </c>
    </row>
    <row r="56">
      <c r="A56" s="16" t="inlineStr">
        <is>
          <t>bootcamp</t>
        </is>
      </c>
      <c r="B56" s="21" t="n">
        <v>100000</v>
      </c>
      <c r="C56" s="16" t="n"/>
      <c r="D56" s="16" t="inlineStr">
        <is>
          <t>evaluation_3</t>
        </is>
      </c>
      <c r="E56" s="21" t="n">
        <v>4500</v>
      </c>
      <c r="F56" s="21" t="n">
        <v>3750</v>
      </c>
      <c r="G56" s="16" t="inlineStr">
        <is>
          <t>Static</t>
        </is>
      </c>
      <c r="H56" s="21" t="inlineStr">
        <is>
          <t>aucune</t>
        </is>
      </c>
      <c r="I56" s="23" t="n">
        <v>0</v>
      </c>
      <c r="J56" s="31" t="inlineStr">
        <is>
          <t>aucune</t>
        </is>
      </c>
      <c r="K56" s="23" t="n"/>
      <c r="L56" s="31" t="n"/>
      <c r="M56" s="21" t="n"/>
      <c r="N56" s="21" t="n"/>
      <c r="O56" s="28">
        <f>IF(A56="","",IF(SUMPRODUCT((Plans!$A$3:$A$300=A56)*(Plans!$B$3:$B$300=B56)*(Plans!$C$3:$C$300=C56))=0,"PLAN INCONNU","ok"))</f>
        <v/>
      </c>
    </row>
    <row r="57">
      <c r="A57" s="16" t="inlineStr">
        <is>
          <t>bootcamp</t>
        </is>
      </c>
      <c r="B57" s="21" t="n">
        <v>100000</v>
      </c>
      <c r="C57" s="16" t="n"/>
      <c r="D57" s="16" t="inlineStr">
        <is>
          <t>funded</t>
        </is>
      </c>
      <c r="E57" s="21" t="n">
        <v>5000</v>
      </c>
      <c r="F57" s="21" t="n">
        <v>4000</v>
      </c>
      <c r="G57" s="16" t="inlineStr">
        <is>
          <t>Static</t>
        </is>
      </c>
      <c r="H57" s="21" t="n">
        <v>3000</v>
      </c>
      <c r="I57" s="23" t="n">
        <v>0</v>
      </c>
      <c r="J57" s="31" t="inlineStr">
        <is>
          <t>aucune</t>
        </is>
      </c>
      <c r="K57" s="23" t="n"/>
      <c r="L57" s="31" t="n">
        <v>0.5</v>
      </c>
      <c r="M57" s="21" t="n"/>
      <c r="N57" s="21" t="n"/>
      <c r="O57" s="28">
        <f>IF(A57="","",IF(SUMPRODUCT((Plans!$A$3:$A$300=A57)*(Plans!$B$3:$B$300=B57)*(Plans!$C$3:$C$300=C57))=0,"PLAN INCONNU","ok"))</f>
        <v/>
      </c>
    </row>
    <row r="58">
      <c r="A58" s="16" t="inlineStr">
        <is>
          <t>bootcamp</t>
        </is>
      </c>
      <c r="B58" s="21" t="n">
        <v>250000</v>
      </c>
      <c r="C58" s="16" t="n"/>
      <c r="D58" s="16" t="inlineStr">
        <is>
          <t>evaluation</t>
        </is>
      </c>
      <c r="E58" s="21" t="n">
        <v>6000</v>
      </c>
      <c r="F58" s="21" t="n">
        <v>5000</v>
      </c>
      <c r="G58" s="16" t="inlineStr">
        <is>
          <t>Static</t>
        </is>
      </c>
      <c r="H58" s="21" t="inlineStr">
        <is>
          <t>aucune</t>
        </is>
      </c>
      <c r="I58" s="23" t="n">
        <v>0</v>
      </c>
      <c r="J58" s="31" t="inlineStr">
        <is>
          <t>aucune</t>
        </is>
      </c>
      <c r="K58" s="23" t="n"/>
      <c r="L58" s="31" t="n"/>
      <c r="M58" s="21" t="n"/>
      <c r="N58" s="21" t="n"/>
      <c r="O58" s="28">
        <f>IF(A58="","",IF(SUMPRODUCT((Plans!$A$3:$A$300=A58)*(Plans!$B$3:$B$300=B58)*(Plans!$C$3:$C$300=C58))=0,"PLAN INCONNU","ok"))</f>
        <v/>
      </c>
    </row>
    <row r="59">
      <c r="A59" s="16" t="inlineStr">
        <is>
          <t>bootcamp</t>
        </is>
      </c>
      <c r="B59" s="21" t="n">
        <v>250000</v>
      </c>
      <c r="C59" s="16" t="n"/>
      <c r="D59" s="16" t="inlineStr">
        <is>
          <t>evaluation_2</t>
        </is>
      </c>
      <c r="E59" s="21" t="n">
        <v>9000</v>
      </c>
      <c r="F59" s="21" t="n">
        <v>7500</v>
      </c>
      <c r="G59" s="16" t="inlineStr">
        <is>
          <t>Static</t>
        </is>
      </c>
      <c r="H59" s="21" t="inlineStr">
        <is>
          <t>aucune</t>
        </is>
      </c>
      <c r="I59" s="23" t="n">
        <v>0</v>
      </c>
      <c r="J59" s="31" t="inlineStr">
        <is>
          <t>aucune</t>
        </is>
      </c>
      <c r="K59" s="23" t="n"/>
      <c r="L59" s="31" t="n"/>
      <c r="M59" s="21" t="n"/>
      <c r="N59" s="21" t="n"/>
      <c r="O59" s="28">
        <f>IF(A59="","",IF(SUMPRODUCT((Plans!$A$3:$A$300=A59)*(Plans!$B$3:$B$300=B59)*(Plans!$C$3:$C$300=C59))=0,"PLAN INCONNU","ok"))</f>
        <v/>
      </c>
    </row>
    <row r="60">
      <c r="A60" s="16" t="inlineStr">
        <is>
          <t>bootcamp</t>
        </is>
      </c>
      <c r="B60" s="21" t="n">
        <v>250000</v>
      </c>
      <c r="C60" s="16" t="n"/>
      <c r="D60" s="16" t="inlineStr">
        <is>
          <t>evaluation_3</t>
        </is>
      </c>
      <c r="E60" s="21" t="n">
        <v>12000</v>
      </c>
      <c r="F60" s="21" t="n">
        <v>10000</v>
      </c>
      <c r="G60" s="16" t="inlineStr">
        <is>
          <t>Static</t>
        </is>
      </c>
      <c r="H60" s="21" t="inlineStr">
        <is>
          <t>aucune</t>
        </is>
      </c>
      <c r="I60" s="23" t="n">
        <v>0</v>
      </c>
      <c r="J60" s="31" t="inlineStr">
        <is>
          <t>aucune</t>
        </is>
      </c>
      <c r="K60" s="23" t="n"/>
      <c r="L60" s="31" t="n"/>
      <c r="M60" s="21" t="n"/>
      <c r="N60" s="21" t="n"/>
      <c r="O60" s="28">
        <f>IF(A60="","",IF(SUMPRODUCT((Plans!$A$3:$A$300=A60)*(Plans!$B$3:$B$300=B60)*(Plans!$C$3:$C$300=C60))=0,"PLAN INCONNU","ok"))</f>
        <v/>
      </c>
    </row>
    <row r="61">
      <c r="A61" s="16" t="inlineStr">
        <is>
          <t>bootcamp</t>
        </is>
      </c>
      <c r="B61" s="21" t="n">
        <v>250000</v>
      </c>
      <c r="C61" s="16" t="n"/>
      <c r="D61" s="16" t="inlineStr">
        <is>
          <t>funded</t>
        </is>
      </c>
      <c r="E61" s="21" t="n">
        <v>12500</v>
      </c>
      <c r="F61" s="21" t="n">
        <v>10000</v>
      </c>
      <c r="G61" s="16" t="inlineStr">
        <is>
          <t>Static</t>
        </is>
      </c>
      <c r="H61" s="21" t="n">
        <v>7500</v>
      </c>
      <c r="I61" s="23" t="n">
        <v>0</v>
      </c>
      <c r="J61" s="31" t="inlineStr">
        <is>
          <t>aucune</t>
        </is>
      </c>
      <c r="K61" s="23" t="n"/>
      <c r="L61" s="31" t="n">
        <v>0.5</v>
      </c>
      <c r="M61" s="21" t="n"/>
      <c r="N61" s="21" t="n"/>
      <c r="O61" s="28">
        <f>IF(A61="","",IF(SUMPRODUCT((Plans!$A$3:$A$300=A61)*(Plans!$B$3:$B$300=B61)*(Plans!$C$3:$C$300=C61))=0,"PLAN INCONNU","ok"))</f>
        <v/>
      </c>
    </row>
    <row r="62">
      <c r="A62" s="16" t="inlineStr">
        <is>
          <t>summer-plan</t>
        </is>
      </c>
      <c r="B62" s="21" t="n">
        <v>100000</v>
      </c>
      <c r="C62" s="16" t="inlineStr">
        <is>
          <t>1-Step</t>
        </is>
      </c>
      <c r="D62" s="16" t="inlineStr">
        <is>
          <t>evaluation</t>
        </is>
      </c>
      <c r="E62" s="21" t="n">
        <v>10000</v>
      </c>
      <c r="F62" s="21" t="n">
        <v>6000</v>
      </c>
      <c r="G62" s="16" t="inlineStr">
        <is>
          <t>End of Day</t>
        </is>
      </c>
      <c r="H62" s="21" t="n">
        <v>3000</v>
      </c>
      <c r="I62" s="23" t="n">
        <v>0</v>
      </c>
      <c r="J62" s="31" t="n">
        <v>0.5</v>
      </c>
      <c r="K62" s="23" t="n"/>
      <c r="L62" s="31" t="n"/>
      <c r="M62" s="21" t="n"/>
      <c r="N62" s="21" t="n"/>
      <c r="O62" s="28">
        <f>IF(A62="","",IF(SUMPRODUCT((Plans!$A$3:$A$300=A62)*(Plans!$B$3:$B$300=B62)*(Plans!$C$3:$C$300=C62))=0,"PLAN INCONNU","ok"))</f>
        <v/>
      </c>
    </row>
    <row r="63">
      <c r="A63" s="16" t="inlineStr">
        <is>
          <t>summer-plan</t>
        </is>
      </c>
      <c r="B63" s="21" t="n">
        <v>100000</v>
      </c>
      <c r="C63" s="16" t="inlineStr">
        <is>
          <t>1-Step</t>
        </is>
      </c>
      <c r="D63" s="16" t="inlineStr">
        <is>
          <t>funded</t>
        </is>
      </c>
      <c r="E63" s="21" t="n"/>
      <c r="F63" s="21" t="n">
        <v>6000</v>
      </c>
      <c r="G63" s="16" t="inlineStr">
        <is>
          <t>End of Day</t>
        </is>
      </c>
      <c r="H63" s="21" t="n">
        <v>3000</v>
      </c>
      <c r="I63" s="23" t="n">
        <v>0</v>
      </c>
      <c r="J63" s="31" t="n">
        <v>0.5</v>
      </c>
      <c r="K63" s="23" t="n"/>
      <c r="L63" s="31" t="n">
        <v>0.75</v>
      </c>
      <c r="M63" s="21" t="n">
        <v>2000</v>
      </c>
      <c r="N63" s="21" t="n">
        <v>250</v>
      </c>
      <c r="O63" s="28">
        <f>IF(A63="","",IF(SUMPRODUCT((Plans!$A$3:$A$300=A63)*(Plans!$B$3:$B$300=B63)*(Plans!$C$3:$C$300=C63))=0,"PLAN INCONNU","ok"))</f>
        <v/>
      </c>
    </row>
    <row r="64">
      <c r="A64" s="16" t="inlineStr">
        <is>
          <t>summer-plan</t>
        </is>
      </c>
      <c r="B64" s="21" t="n">
        <v>100000</v>
      </c>
      <c r="C64" s="16" t="inlineStr">
        <is>
          <t>2-Step 10/5</t>
        </is>
      </c>
      <c r="D64" s="16" t="inlineStr">
        <is>
          <t>evaluation</t>
        </is>
      </c>
      <c r="E64" s="21" t="n">
        <v>10000</v>
      </c>
      <c r="F64" s="21" t="n">
        <v>10000</v>
      </c>
      <c r="G64" s="16" t="inlineStr">
        <is>
          <t>End of Day</t>
        </is>
      </c>
      <c r="H64" s="21" t="n">
        <v>3000</v>
      </c>
      <c r="I64" s="23" t="n">
        <v>0</v>
      </c>
      <c r="J64" s="31" t="inlineStr">
        <is>
          <t>aucune</t>
        </is>
      </c>
      <c r="K64" s="23" t="n"/>
      <c r="L64" s="31" t="n"/>
      <c r="M64" s="21" t="n"/>
      <c r="N64" s="21" t="n"/>
      <c r="O64" s="28">
        <f>IF(A64="","",IF(SUMPRODUCT((Plans!$A$3:$A$300=A64)*(Plans!$B$3:$B$300=B64)*(Plans!$C$3:$C$300=C64))=0,"PLAN INCONNU","ok"))</f>
        <v/>
      </c>
    </row>
    <row r="65">
      <c r="A65" s="16" t="inlineStr">
        <is>
          <t>summer-plan</t>
        </is>
      </c>
      <c r="B65" s="21" t="n">
        <v>100000</v>
      </c>
      <c r="C65" s="16" t="inlineStr">
        <is>
          <t>2-Step 10/5</t>
        </is>
      </c>
      <c r="D65" s="16" t="inlineStr">
        <is>
          <t>evaluation_2</t>
        </is>
      </c>
      <c r="E65" s="21" t="n">
        <v>5000</v>
      </c>
      <c r="F65" s="21" t="n">
        <v>10000</v>
      </c>
      <c r="G65" s="16" t="inlineStr">
        <is>
          <t>End of Day</t>
        </is>
      </c>
      <c r="H65" s="21" t="n">
        <v>3000</v>
      </c>
      <c r="I65" s="23" t="n">
        <v>0</v>
      </c>
      <c r="J65" s="31" t="inlineStr">
        <is>
          <t>aucune</t>
        </is>
      </c>
      <c r="K65" s="23" t="n"/>
      <c r="L65" s="31" t="n"/>
      <c r="M65" s="21" t="n"/>
      <c r="N65" s="21" t="n"/>
      <c r="O65" s="28">
        <f>IF(A65="","",IF(SUMPRODUCT((Plans!$A$3:$A$300=A65)*(Plans!$B$3:$B$300=B65)*(Plans!$C$3:$C$300=C65))=0,"PLAN INCONNU","ok"))</f>
        <v/>
      </c>
    </row>
    <row r="66">
      <c r="A66" s="16" t="inlineStr">
        <is>
          <t>summer-plan</t>
        </is>
      </c>
      <c r="B66" s="21" t="n">
        <v>100000</v>
      </c>
      <c r="C66" s="16" t="inlineStr">
        <is>
          <t>2-Step 10/5</t>
        </is>
      </c>
      <c r="D66" s="16" t="inlineStr">
        <is>
          <t>funded</t>
        </is>
      </c>
      <c r="E66" s="21" t="n"/>
      <c r="F66" s="21" t="n">
        <v>10000</v>
      </c>
      <c r="G66" s="16" t="inlineStr">
        <is>
          <t>End of Day</t>
        </is>
      </c>
      <c r="H66" s="21" t="n">
        <v>3000</v>
      </c>
      <c r="I66" s="23" t="n">
        <v>0</v>
      </c>
      <c r="J66" s="31" t="n">
        <v>0.5</v>
      </c>
      <c r="K66" s="23" t="n"/>
      <c r="L66" s="31" t="n">
        <v>0.8</v>
      </c>
      <c r="M66" s="21" t="n">
        <v>2000</v>
      </c>
      <c r="N66" s="21" t="n">
        <v>250</v>
      </c>
      <c r="O66" s="28">
        <f>IF(A66="","",IF(SUMPRODUCT((Plans!$A$3:$A$300=A66)*(Plans!$B$3:$B$300=B66)*(Plans!$C$3:$C$300=C66))=0,"PLAN INCONNU","ok"))</f>
        <v/>
      </c>
    </row>
    <row r="67">
      <c r="A67" s="16" t="inlineStr">
        <is>
          <t>summer-plan</t>
        </is>
      </c>
      <c r="B67" s="21" t="n">
        <v>100000</v>
      </c>
      <c r="C67" s="16" t="inlineStr">
        <is>
          <t>2-Step 8/5</t>
        </is>
      </c>
      <c r="D67" s="16" t="inlineStr">
        <is>
          <t>evaluation</t>
        </is>
      </c>
      <c r="E67" s="21" t="n">
        <v>8000</v>
      </c>
      <c r="F67" s="21" t="n">
        <v>10000</v>
      </c>
      <c r="G67" s="16" t="inlineStr">
        <is>
          <t>End of Day</t>
        </is>
      </c>
      <c r="H67" s="21" t="n">
        <v>3000</v>
      </c>
      <c r="I67" s="23" t="n">
        <v>0</v>
      </c>
      <c r="J67" s="31" t="inlineStr">
        <is>
          <t>aucune</t>
        </is>
      </c>
      <c r="K67" s="23" t="n"/>
      <c r="L67" s="31" t="n"/>
      <c r="M67" s="21" t="n"/>
      <c r="N67" s="21" t="n"/>
      <c r="O67" s="28">
        <f>IF(A67="","",IF(SUMPRODUCT((Plans!$A$3:$A$300=A67)*(Plans!$B$3:$B$300=B67)*(Plans!$C$3:$C$300=C67))=0,"PLAN INCONNU","ok"))</f>
        <v/>
      </c>
    </row>
    <row r="68">
      <c r="A68" s="16" t="inlineStr">
        <is>
          <t>summer-plan</t>
        </is>
      </c>
      <c r="B68" s="21" t="n">
        <v>100000</v>
      </c>
      <c r="C68" s="16" t="inlineStr">
        <is>
          <t>2-Step 8/5</t>
        </is>
      </c>
      <c r="D68" s="16" t="inlineStr">
        <is>
          <t>evaluation_2</t>
        </is>
      </c>
      <c r="E68" s="21" t="n">
        <v>5000</v>
      </c>
      <c r="F68" s="21" t="n">
        <v>10000</v>
      </c>
      <c r="G68" s="16" t="inlineStr">
        <is>
          <t>End of Day</t>
        </is>
      </c>
      <c r="H68" s="21" t="n">
        <v>3000</v>
      </c>
      <c r="I68" s="23" t="n">
        <v>0</v>
      </c>
      <c r="J68" s="31" t="inlineStr">
        <is>
          <t>aucune</t>
        </is>
      </c>
      <c r="K68" s="23" t="n"/>
      <c r="L68" s="31" t="n"/>
      <c r="M68" s="21" t="n"/>
      <c r="N68" s="21" t="n"/>
      <c r="O68" s="28">
        <f>IF(A68="","",IF(SUMPRODUCT((Plans!$A$3:$A$300=A68)*(Plans!$B$3:$B$300=B68)*(Plans!$C$3:$C$300=C68))=0,"PLAN INCONNU","ok"))</f>
        <v/>
      </c>
    </row>
    <row r="69">
      <c r="A69" s="16" t="inlineStr">
        <is>
          <t>summer-plan</t>
        </is>
      </c>
      <c r="B69" s="21" t="n">
        <v>100000</v>
      </c>
      <c r="C69" s="16" t="inlineStr">
        <is>
          <t>2-Step 8/5</t>
        </is>
      </c>
      <c r="D69" s="16" t="inlineStr">
        <is>
          <t>funded</t>
        </is>
      </c>
      <c r="E69" s="21" t="n"/>
      <c r="F69" s="21" t="n">
        <v>10000</v>
      </c>
      <c r="G69" s="16" t="inlineStr">
        <is>
          <t>End of Day</t>
        </is>
      </c>
      <c r="H69" s="21" t="n">
        <v>3000</v>
      </c>
      <c r="I69" s="23" t="n">
        <v>0</v>
      </c>
      <c r="J69" s="31" t="n">
        <v>0.5</v>
      </c>
      <c r="K69" s="23" t="n"/>
      <c r="L69" s="31" t="n">
        <v>0.8</v>
      </c>
      <c r="M69" s="21" t="n">
        <v>2000</v>
      </c>
      <c r="N69" s="21" t="n">
        <v>250</v>
      </c>
      <c r="O69" s="28">
        <f>IF(A69="","",IF(SUMPRODUCT((Plans!$A$3:$A$300=A69)*(Plans!$B$3:$B$300=B69)*(Plans!$C$3:$C$300=C69))=0,"PLAN INCONNU","ok"))</f>
        <v/>
      </c>
    </row>
    <row r="70">
      <c r="A70" s="16" t="inlineStr">
        <is>
          <t>summer-plan</t>
        </is>
      </c>
      <c r="B70" s="21" t="n">
        <v>200000</v>
      </c>
      <c r="C70" s="16" t="inlineStr">
        <is>
          <t>2-Step 10/5</t>
        </is>
      </c>
      <c r="D70" s="16" t="inlineStr">
        <is>
          <t>evaluation</t>
        </is>
      </c>
      <c r="E70" s="21" t="n">
        <v>20000</v>
      </c>
      <c r="F70" s="21" t="n">
        <v>20000</v>
      </c>
      <c r="G70" s="16" t="inlineStr">
        <is>
          <t>End of Day</t>
        </is>
      </c>
      <c r="H70" s="21" t="n">
        <v>6000</v>
      </c>
      <c r="I70" s="23" t="n">
        <v>0</v>
      </c>
      <c r="J70" s="31" t="inlineStr">
        <is>
          <t>aucune</t>
        </is>
      </c>
      <c r="K70" s="23" t="n"/>
      <c r="L70" s="31" t="n"/>
      <c r="M70" s="21" t="n"/>
      <c r="N70" s="21" t="n"/>
      <c r="O70" s="28">
        <f>IF(A70="","",IF(SUMPRODUCT((Plans!$A$3:$A$300=A70)*(Plans!$B$3:$B$300=B70)*(Plans!$C$3:$C$300=C70))=0,"PLAN INCONNU","ok"))</f>
        <v/>
      </c>
    </row>
    <row r="71">
      <c r="A71" s="16" t="inlineStr">
        <is>
          <t>summer-plan</t>
        </is>
      </c>
      <c r="B71" s="21" t="n">
        <v>200000</v>
      </c>
      <c r="C71" s="16" t="inlineStr">
        <is>
          <t>2-Step 10/5</t>
        </is>
      </c>
      <c r="D71" s="16" t="inlineStr">
        <is>
          <t>evaluation_2</t>
        </is>
      </c>
      <c r="E71" s="21" t="n">
        <v>10000</v>
      </c>
      <c r="F71" s="21" t="n">
        <v>20000</v>
      </c>
      <c r="G71" s="16" t="inlineStr">
        <is>
          <t>End of Day</t>
        </is>
      </c>
      <c r="H71" s="21" t="n">
        <v>6000</v>
      </c>
      <c r="I71" s="23" t="n">
        <v>0</v>
      </c>
      <c r="J71" s="31" t="inlineStr">
        <is>
          <t>aucune</t>
        </is>
      </c>
      <c r="K71" s="23" t="n"/>
      <c r="L71" s="31" t="n"/>
      <c r="M71" s="21" t="n"/>
      <c r="N71" s="21" t="n"/>
      <c r="O71" s="28">
        <f>IF(A71="","",IF(SUMPRODUCT((Plans!$A$3:$A$300=A71)*(Plans!$B$3:$B$300=B71)*(Plans!$C$3:$C$300=C71))=0,"PLAN INCONNU","ok"))</f>
        <v/>
      </c>
    </row>
    <row r="72">
      <c r="A72" s="16" t="inlineStr">
        <is>
          <t>summer-plan</t>
        </is>
      </c>
      <c r="B72" s="21" t="n">
        <v>200000</v>
      </c>
      <c r="C72" s="16" t="inlineStr">
        <is>
          <t>2-Step 10/5</t>
        </is>
      </c>
      <c r="D72" s="16" t="inlineStr">
        <is>
          <t>funded</t>
        </is>
      </c>
      <c r="E72" s="21" t="n"/>
      <c r="F72" s="21" t="n">
        <v>20000</v>
      </c>
      <c r="G72" s="16" t="inlineStr">
        <is>
          <t>End of Day</t>
        </is>
      </c>
      <c r="H72" s="21" t="n">
        <v>6000</v>
      </c>
      <c r="I72" s="23" t="n">
        <v>0</v>
      </c>
      <c r="J72" s="31" t="n">
        <v>0.5</v>
      </c>
      <c r="K72" s="23" t="n"/>
      <c r="L72" s="31" t="n">
        <v>0.8</v>
      </c>
      <c r="M72" s="21" t="n">
        <v>3000</v>
      </c>
      <c r="N72" s="21" t="n">
        <v>250</v>
      </c>
      <c r="O72" s="28">
        <f>IF(A72="","",IF(SUMPRODUCT((Plans!$A$3:$A$300=A72)*(Plans!$B$3:$B$300=B72)*(Plans!$C$3:$C$300=C72))=0,"PLAN INCONNU","ok"))</f>
        <v/>
      </c>
    </row>
    <row r="73">
      <c r="A73" s="16" t="inlineStr">
        <is>
          <t>summer-plan</t>
        </is>
      </c>
      <c r="B73" s="21" t="n">
        <v>200000</v>
      </c>
      <c r="C73" s="16" t="inlineStr">
        <is>
          <t>2-Step 8/5</t>
        </is>
      </c>
      <c r="D73" s="16" t="inlineStr">
        <is>
          <t>evaluation</t>
        </is>
      </c>
      <c r="E73" s="21" t="n">
        <v>16000</v>
      </c>
      <c r="F73" s="21" t="n">
        <v>20000</v>
      </c>
      <c r="G73" s="16" t="inlineStr">
        <is>
          <t>End of Day</t>
        </is>
      </c>
      <c r="H73" s="21" t="n">
        <v>6000</v>
      </c>
      <c r="I73" s="23" t="n">
        <v>0</v>
      </c>
      <c r="J73" s="31" t="inlineStr">
        <is>
          <t>aucune</t>
        </is>
      </c>
      <c r="K73" s="23" t="n"/>
      <c r="L73" s="31" t="n"/>
      <c r="M73" s="21" t="n"/>
      <c r="N73" s="21" t="n"/>
      <c r="O73" s="28">
        <f>IF(A73="","",IF(SUMPRODUCT((Plans!$A$3:$A$300=A73)*(Plans!$B$3:$B$300=B73)*(Plans!$C$3:$C$300=C73))=0,"PLAN INCONNU","ok"))</f>
        <v/>
      </c>
    </row>
    <row r="74">
      <c r="A74" s="16" t="inlineStr">
        <is>
          <t>summer-plan</t>
        </is>
      </c>
      <c r="B74" s="21" t="n">
        <v>200000</v>
      </c>
      <c r="C74" s="16" t="inlineStr">
        <is>
          <t>2-Step 8/5</t>
        </is>
      </c>
      <c r="D74" s="16" t="inlineStr">
        <is>
          <t>evaluation_2</t>
        </is>
      </c>
      <c r="E74" s="21" t="n">
        <v>10000</v>
      </c>
      <c r="F74" s="21" t="n">
        <v>20000</v>
      </c>
      <c r="G74" s="16" t="inlineStr">
        <is>
          <t>End of Day</t>
        </is>
      </c>
      <c r="H74" s="21" t="n">
        <v>6000</v>
      </c>
      <c r="I74" s="23" t="n">
        <v>0</v>
      </c>
      <c r="J74" s="31" t="inlineStr">
        <is>
          <t>aucune</t>
        </is>
      </c>
      <c r="K74" s="23" t="n"/>
      <c r="L74" s="31" t="n"/>
      <c r="M74" s="21" t="n"/>
      <c r="N74" s="21" t="n"/>
      <c r="O74" s="28">
        <f>IF(A74="","",IF(SUMPRODUCT((Plans!$A$3:$A$300=A74)*(Plans!$B$3:$B$300=B74)*(Plans!$C$3:$C$300=C74))=0,"PLAN INCONNU","ok"))</f>
        <v/>
      </c>
    </row>
    <row r="75">
      <c r="A75" s="16" t="inlineStr">
        <is>
          <t>summer-plan</t>
        </is>
      </c>
      <c r="B75" s="21" t="n">
        <v>200000</v>
      </c>
      <c r="C75" s="16" t="inlineStr">
        <is>
          <t>2-Step 8/5</t>
        </is>
      </c>
      <c r="D75" s="16" t="inlineStr">
        <is>
          <t>funded</t>
        </is>
      </c>
      <c r="E75" s="21" t="n"/>
      <c r="F75" s="21" t="n">
        <v>20000</v>
      </c>
      <c r="G75" s="16" t="inlineStr">
        <is>
          <t>End of Day</t>
        </is>
      </c>
      <c r="H75" s="21" t="n">
        <v>6000</v>
      </c>
      <c r="I75" s="23" t="n">
        <v>0</v>
      </c>
      <c r="J75" s="31" t="n">
        <v>0.5</v>
      </c>
      <c r="K75" s="23" t="n"/>
      <c r="L75" s="31" t="n">
        <v>0.8</v>
      </c>
      <c r="M75" s="21" t="n">
        <v>3000</v>
      </c>
      <c r="N75" s="21" t="n">
        <v>250</v>
      </c>
      <c r="O75" s="28">
        <f>IF(A75="","",IF(SUMPRODUCT((Plans!$A$3:$A$300=A75)*(Plans!$B$3:$B$300=B75)*(Plans!$C$3:$C$300=C75))=0,"PLAN INCONNU","ok"))</f>
        <v/>
      </c>
    </row>
    <row r="76">
      <c r="A76" s="16" t="inlineStr">
        <is>
          <t>futures</t>
        </is>
      </c>
      <c r="B76" s="21" t="n">
        <v>25000</v>
      </c>
      <c r="C76" s="16" t="inlineStr">
        <is>
          <t>Day Trade</t>
        </is>
      </c>
      <c r="D76" s="16" t="inlineStr">
        <is>
          <t>evaluation</t>
        </is>
      </c>
      <c r="E76" s="21" t="n">
        <v>1500</v>
      </c>
      <c r="F76" s="21" t="n">
        <v>1000</v>
      </c>
      <c r="G76" s="16" t="inlineStr">
        <is>
          <t>End of Day</t>
        </is>
      </c>
      <c r="H76" s="21" t="inlineStr">
        <is>
          <t>aucune</t>
        </is>
      </c>
      <c r="I76" s="23" t="n">
        <v>0</v>
      </c>
      <c r="J76" s="31" t="n">
        <v>0.4</v>
      </c>
      <c r="K76" s="23" t="n"/>
      <c r="L76" s="31" t="n"/>
      <c r="M76" s="21" t="n"/>
      <c r="N76" s="21" t="n"/>
      <c r="O76" s="28">
        <f>IF(A76="","",IF(SUMPRODUCT((Plans!$A$3:$A$300=A76)*(Plans!$B$3:$B$300=B76)*(Plans!$C$3:$C$300=C76))=0,"PLAN INCONNU","ok"))</f>
        <v/>
      </c>
    </row>
    <row r="77">
      <c r="A77" s="16" t="inlineStr">
        <is>
          <t>futures</t>
        </is>
      </c>
      <c r="B77" s="21" t="n">
        <v>25000</v>
      </c>
      <c r="C77" s="16" t="inlineStr">
        <is>
          <t>Day Trade</t>
        </is>
      </c>
      <c r="D77" s="16" t="inlineStr">
        <is>
          <t>funded</t>
        </is>
      </c>
      <c r="E77" s="21" t="n">
        <v>1000</v>
      </c>
      <c r="F77" s="21" t="n">
        <v>1000</v>
      </c>
      <c r="G77" s="16" t="inlineStr">
        <is>
          <t>End of Day</t>
        </is>
      </c>
      <c r="H77" s="21" t="inlineStr">
        <is>
          <t>aucune</t>
        </is>
      </c>
      <c r="I77" s="23" t="n">
        <v>0</v>
      </c>
      <c r="J77" s="31" t="n">
        <v>0.4</v>
      </c>
      <c r="K77" s="23" t="n"/>
      <c r="L77" s="31" t="n">
        <v>0.8</v>
      </c>
      <c r="M77" s="21" t="n">
        <v>1250</v>
      </c>
      <c r="N77" s="21" t="n"/>
      <c r="O77" s="28">
        <f>IF(A77="","",IF(SUMPRODUCT((Plans!$A$3:$A$300=A77)*(Plans!$B$3:$B$300=B77)*(Plans!$C$3:$C$300=C77))=0,"PLAN INCONNU","ok"))</f>
        <v/>
      </c>
    </row>
    <row r="78">
      <c r="A78" s="16" t="inlineStr">
        <is>
          <t>futures</t>
        </is>
      </c>
      <c r="B78" s="21" t="n">
        <v>50000</v>
      </c>
      <c r="C78" s="16" t="inlineStr">
        <is>
          <t>Day Trade</t>
        </is>
      </c>
      <c r="D78" s="16" t="inlineStr">
        <is>
          <t>evaluation</t>
        </is>
      </c>
      <c r="E78" s="21" t="n">
        <v>3000</v>
      </c>
      <c r="F78" s="21" t="n">
        <v>2000</v>
      </c>
      <c r="G78" s="16" t="inlineStr">
        <is>
          <t>End of Day</t>
        </is>
      </c>
      <c r="H78" s="21" t="inlineStr">
        <is>
          <t>aucune</t>
        </is>
      </c>
      <c r="I78" s="23" t="n">
        <v>0</v>
      </c>
      <c r="J78" s="31" t="n">
        <v>0.4</v>
      </c>
      <c r="K78" s="23" t="n"/>
      <c r="L78" s="31" t="n"/>
      <c r="M78" s="21" t="n"/>
      <c r="N78" s="21" t="n"/>
      <c r="O78" s="28">
        <f>IF(A78="","",IF(SUMPRODUCT((Plans!$A$3:$A$300=A78)*(Plans!$B$3:$B$300=B78)*(Plans!$C$3:$C$300=C78))=0,"PLAN INCONNU","ok"))</f>
        <v/>
      </c>
    </row>
    <row r="79">
      <c r="A79" s="16" t="inlineStr">
        <is>
          <t>futures</t>
        </is>
      </c>
      <c r="B79" s="21" t="n">
        <v>50000</v>
      </c>
      <c r="C79" s="16" t="inlineStr">
        <is>
          <t>Day Trade</t>
        </is>
      </c>
      <c r="D79" s="16" t="inlineStr">
        <is>
          <t>funded</t>
        </is>
      </c>
      <c r="E79" s="21" t="n">
        <v>2000</v>
      </c>
      <c r="F79" s="21" t="n">
        <v>2000</v>
      </c>
      <c r="G79" s="16" t="inlineStr">
        <is>
          <t>End of Day</t>
        </is>
      </c>
      <c r="H79" s="21" t="inlineStr">
        <is>
          <t>aucune</t>
        </is>
      </c>
      <c r="I79" s="23" t="n">
        <v>0</v>
      </c>
      <c r="J79" s="31" t="n">
        <v>0.4</v>
      </c>
      <c r="K79" s="23" t="n"/>
      <c r="L79" s="31" t="n">
        <v>0.8</v>
      </c>
      <c r="M79" s="21" t="n">
        <v>1500</v>
      </c>
      <c r="N79" s="21" t="n"/>
      <c r="O79" s="28">
        <f>IF(A79="","",IF(SUMPRODUCT((Plans!$A$3:$A$300=A79)*(Plans!$B$3:$B$300=B79)*(Plans!$C$3:$C$300=C79))=0,"PLAN INCONNU","ok"))</f>
        <v/>
      </c>
    </row>
    <row r="80">
      <c r="A80" s="16" t="inlineStr">
        <is>
          <t>futures</t>
        </is>
      </c>
      <c r="B80" s="21" t="n">
        <v>100000</v>
      </c>
      <c r="C80" s="16" t="inlineStr">
        <is>
          <t>Day Trade</t>
        </is>
      </c>
      <c r="D80" s="16" t="inlineStr">
        <is>
          <t>evaluation</t>
        </is>
      </c>
      <c r="E80" s="21" t="n">
        <v>6000</v>
      </c>
      <c r="F80" s="21" t="n">
        <v>4000</v>
      </c>
      <c r="G80" s="16" t="inlineStr">
        <is>
          <t>End of Day</t>
        </is>
      </c>
      <c r="H80" s="21" t="n">
        <v>2500</v>
      </c>
      <c r="I80" s="23" t="n">
        <v>0</v>
      </c>
      <c r="J80" s="31" t="n">
        <v>0.4</v>
      </c>
      <c r="K80" s="23" t="n"/>
      <c r="L80" s="31" t="n"/>
      <c r="M80" s="21" t="n"/>
      <c r="N80" s="21" t="n"/>
      <c r="O80" s="28">
        <f>IF(A80="","",IF(SUMPRODUCT((Plans!$A$3:$A$300=A80)*(Plans!$B$3:$B$300=B80)*(Plans!$C$3:$C$300=C80))=0,"PLAN INCONNU","ok"))</f>
        <v/>
      </c>
    </row>
    <row r="81">
      <c r="A81" s="16" t="inlineStr">
        <is>
          <t>futures</t>
        </is>
      </c>
      <c r="B81" s="21" t="n">
        <v>100000</v>
      </c>
      <c r="C81" s="16" t="inlineStr">
        <is>
          <t>Day Trade</t>
        </is>
      </c>
      <c r="D81" s="16" t="inlineStr">
        <is>
          <t>funded</t>
        </is>
      </c>
      <c r="E81" s="21" t="n">
        <v>4000</v>
      </c>
      <c r="F81" s="21" t="n">
        <v>4000</v>
      </c>
      <c r="G81" s="16" t="inlineStr">
        <is>
          <t>End of Day</t>
        </is>
      </c>
      <c r="H81" s="21" t="n">
        <v>2500</v>
      </c>
      <c r="I81" s="23" t="n">
        <v>0</v>
      </c>
      <c r="J81" s="31" t="n">
        <v>0.4</v>
      </c>
      <c r="K81" s="23" t="n"/>
      <c r="L81" s="31" t="n">
        <v>0.8</v>
      </c>
      <c r="M81" s="21" t="n">
        <v>3000</v>
      </c>
      <c r="N81" s="21" t="n"/>
      <c r="O81" s="28">
        <f>IF(A81="","",IF(SUMPRODUCT((Plans!$A$3:$A$300=A81)*(Plans!$B$3:$B$300=B81)*(Plans!$C$3:$C$300=C81))=0,"PLAN INCONNU","ok"))</f>
        <v/>
      </c>
    </row>
    <row r="82">
      <c r="A82" s="16" t="inlineStr">
        <is>
          <t>futures</t>
        </is>
      </c>
      <c r="B82" s="21" t="n">
        <v>150000</v>
      </c>
      <c r="C82" s="16" t="inlineStr">
        <is>
          <t>Day Trade</t>
        </is>
      </c>
      <c r="D82" s="16" t="inlineStr">
        <is>
          <t>evaluation</t>
        </is>
      </c>
      <c r="E82" s="21" t="n">
        <v>9000</v>
      </c>
      <c r="F82" s="21" t="n">
        <v>6000</v>
      </c>
      <c r="G82" s="16" t="inlineStr">
        <is>
          <t>End of Day</t>
        </is>
      </c>
      <c r="H82" s="21" t="n">
        <v>3750</v>
      </c>
      <c r="I82" s="23" t="n">
        <v>0</v>
      </c>
      <c r="J82" s="31" t="n">
        <v>0.4</v>
      </c>
      <c r="K82" s="23" t="n"/>
      <c r="L82" s="31" t="n"/>
      <c r="M82" s="21" t="n"/>
      <c r="N82" s="21" t="n"/>
      <c r="O82" s="28">
        <f>IF(A82="","",IF(SUMPRODUCT((Plans!$A$3:$A$300=A82)*(Plans!$B$3:$B$300=B82)*(Plans!$C$3:$C$300=C82))=0,"PLAN INCONNU","ok"))</f>
        <v/>
      </c>
    </row>
    <row r="83">
      <c r="A83" s="16" t="inlineStr">
        <is>
          <t>futures</t>
        </is>
      </c>
      <c r="B83" s="21" t="n">
        <v>150000</v>
      </c>
      <c r="C83" s="16" t="inlineStr">
        <is>
          <t>Day Trade</t>
        </is>
      </c>
      <c r="D83" s="16" t="inlineStr">
        <is>
          <t>funded</t>
        </is>
      </c>
      <c r="E83" s="21" t="n">
        <v>6000</v>
      </c>
      <c r="F83" s="21" t="n">
        <v>6000</v>
      </c>
      <c r="G83" s="16" t="inlineStr">
        <is>
          <t>End of Day</t>
        </is>
      </c>
      <c r="H83" s="21" t="n">
        <v>3750</v>
      </c>
      <c r="I83" s="23" t="n">
        <v>0</v>
      </c>
      <c r="J83" s="31" t="n">
        <v>0.4</v>
      </c>
      <c r="K83" s="23" t="n"/>
      <c r="L83" s="31" t="n">
        <v>0.8</v>
      </c>
      <c r="M83" s="21" t="n">
        <v>4500</v>
      </c>
      <c r="N83" s="21" t="n"/>
      <c r="O83" s="28">
        <f>IF(A83="","",IF(SUMPRODUCT((Plans!$A$3:$A$300=A83)*(Plans!$B$3:$B$300=B83)*(Plans!$C$3:$C$300=C83))=0,"PLAN INCONNU","ok"))</f>
        <v/>
      </c>
    </row>
    <row r="84">
      <c r="A84" s="16" t="inlineStr">
        <is>
          <t>futures</t>
        </is>
      </c>
      <c r="B84" s="21" t="n">
        <v>25000</v>
      </c>
      <c r="C84" s="16" t="inlineStr">
        <is>
          <t>Swing</t>
        </is>
      </c>
      <c r="D84" s="16" t="inlineStr">
        <is>
          <t>evaluation</t>
        </is>
      </c>
      <c r="E84" s="21" t="n">
        <v>1500</v>
      </c>
      <c r="F84" s="21" t="n">
        <v>1000</v>
      </c>
      <c r="G84" s="16" t="inlineStr">
        <is>
          <t>End of Day</t>
        </is>
      </c>
      <c r="H84" s="21" t="inlineStr">
        <is>
          <t>aucune</t>
        </is>
      </c>
      <c r="I84" s="23" t="n">
        <v>0</v>
      </c>
      <c r="J84" s="31" t="n">
        <v>0.4</v>
      </c>
      <c r="K84" s="23" t="n"/>
      <c r="L84" s="31" t="n"/>
      <c r="M84" s="21" t="n"/>
      <c r="N84" s="21" t="n"/>
      <c r="O84" s="28">
        <f>IF(A84="","",IF(SUMPRODUCT((Plans!$A$3:$A$300=A84)*(Plans!$B$3:$B$300=B84)*(Plans!$C$3:$C$300=C84))=0,"PLAN INCONNU","ok"))</f>
        <v/>
      </c>
    </row>
    <row r="85">
      <c r="A85" s="16" t="inlineStr">
        <is>
          <t>futures</t>
        </is>
      </c>
      <c r="B85" s="21" t="n">
        <v>25000</v>
      </c>
      <c r="C85" s="16" t="inlineStr">
        <is>
          <t>Swing</t>
        </is>
      </c>
      <c r="D85" s="16" t="inlineStr">
        <is>
          <t>funded</t>
        </is>
      </c>
      <c r="E85" s="21" t="n">
        <v>1000</v>
      </c>
      <c r="F85" s="21" t="n">
        <v>1000</v>
      </c>
      <c r="G85" s="16" t="inlineStr">
        <is>
          <t>End of Day</t>
        </is>
      </c>
      <c r="H85" s="21" t="inlineStr">
        <is>
          <t>aucune</t>
        </is>
      </c>
      <c r="I85" s="23" t="n">
        <v>0</v>
      </c>
      <c r="J85" s="31" t="n">
        <v>0.4</v>
      </c>
      <c r="K85" s="23" t="n"/>
      <c r="L85" s="31" t="n">
        <v>0.8</v>
      </c>
      <c r="M85" s="21" t="n">
        <v>1250</v>
      </c>
      <c r="N85" s="21" t="n"/>
      <c r="O85" s="28">
        <f>IF(A85="","",IF(SUMPRODUCT((Plans!$A$3:$A$300=A85)*(Plans!$B$3:$B$300=B85)*(Plans!$C$3:$C$300=C85))=0,"PLAN INCONNU","ok"))</f>
        <v/>
      </c>
    </row>
    <row r="86">
      <c r="A86" s="16" t="inlineStr">
        <is>
          <t>futures</t>
        </is>
      </c>
      <c r="B86" s="21" t="n">
        <v>50000</v>
      </c>
      <c r="C86" s="16" t="inlineStr">
        <is>
          <t>Swing</t>
        </is>
      </c>
      <c r="D86" s="16" t="inlineStr">
        <is>
          <t>evaluation</t>
        </is>
      </c>
      <c r="E86" s="21" t="n">
        <v>3000</v>
      </c>
      <c r="F86" s="21" t="n">
        <v>2000</v>
      </c>
      <c r="G86" s="16" t="inlineStr">
        <is>
          <t>End of Day</t>
        </is>
      </c>
      <c r="H86" s="21" t="inlineStr">
        <is>
          <t>aucune</t>
        </is>
      </c>
      <c r="I86" s="23" t="n">
        <v>0</v>
      </c>
      <c r="J86" s="31" t="n">
        <v>0.4</v>
      </c>
      <c r="K86" s="23" t="n"/>
      <c r="L86" s="31" t="n"/>
      <c r="M86" s="21" t="n"/>
      <c r="N86" s="21" t="n"/>
      <c r="O86" s="28">
        <f>IF(A86="","",IF(SUMPRODUCT((Plans!$A$3:$A$300=A86)*(Plans!$B$3:$B$300=B86)*(Plans!$C$3:$C$300=C86))=0,"PLAN INCONNU","ok"))</f>
        <v/>
      </c>
    </row>
    <row r="87">
      <c r="A87" s="16" t="inlineStr">
        <is>
          <t>futures</t>
        </is>
      </c>
      <c r="B87" s="21" t="n">
        <v>50000</v>
      </c>
      <c r="C87" s="16" t="inlineStr">
        <is>
          <t>Swing</t>
        </is>
      </c>
      <c r="D87" s="16" t="inlineStr">
        <is>
          <t>funded</t>
        </is>
      </c>
      <c r="E87" s="21" t="n">
        <v>2000</v>
      </c>
      <c r="F87" s="21" t="n">
        <v>2000</v>
      </c>
      <c r="G87" s="16" t="inlineStr">
        <is>
          <t>End of Day</t>
        </is>
      </c>
      <c r="H87" s="21" t="inlineStr">
        <is>
          <t>aucune</t>
        </is>
      </c>
      <c r="I87" s="23" t="n">
        <v>0</v>
      </c>
      <c r="J87" s="31" t="n">
        <v>0.4</v>
      </c>
      <c r="K87" s="23" t="n"/>
      <c r="L87" s="31" t="n">
        <v>0.8</v>
      </c>
      <c r="M87" s="21" t="n">
        <v>1500</v>
      </c>
      <c r="N87" s="21" t="n"/>
      <c r="O87" s="28">
        <f>IF(A87="","",IF(SUMPRODUCT((Plans!$A$3:$A$300=A87)*(Plans!$B$3:$B$300=B87)*(Plans!$C$3:$C$300=C87))=0,"PLAN INCONNU","ok"))</f>
        <v/>
      </c>
    </row>
    <row r="88">
      <c r="A88" s="16" t="inlineStr">
        <is>
          <t>futures</t>
        </is>
      </c>
      <c r="B88" s="21" t="n">
        <v>100000</v>
      </c>
      <c r="C88" s="16" t="inlineStr">
        <is>
          <t>Swing</t>
        </is>
      </c>
      <c r="D88" s="16" t="inlineStr">
        <is>
          <t>evaluation</t>
        </is>
      </c>
      <c r="E88" s="21" t="n">
        <v>6000</v>
      </c>
      <c r="F88" s="21" t="n">
        <v>4000</v>
      </c>
      <c r="G88" s="16" t="inlineStr">
        <is>
          <t>End of Day</t>
        </is>
      </c>
      <c r="H88" s="21" t="n">
        <v>2500</v>
      </c>
      <c r="I88" s="23" t="n">
        <v>0</v>
      </c>
      <c r="J88" s="31" t="n">
        <v>0.4</v>
      </c>
      <c r="K88" s="23" t="n"/>
      <c r="L88" s="31" t="n"/>
      <c r="M88" s="21" t="n"/>
      <c r="N88" s="21" t="n"/>
      <c r="O88" s="28">
        <f>IF(A88="","",IF(SUMPRODUCT((Plans!$A$3:$A$300=A88)*(Plans!$B$3:$B$300=B88)*(Plans!$C$3:$C$300=C88))=0,"PLAN INCONNU","ok"))</f>
        <v/>
      </c>
    </row>
    <row r="89">
      <c r="A89" s="16" t="inlineStr">
        <is>
          <t>futures</t>
        </is>
      </c>
      <c r="B89" s="21" t="n">
        <v>100000</v>
      </c>
      <c r="C89" s="16" t="inlineStr">
        <is>
          <t>Swing</t>
        </is>
      </c>
      <c r="D89" s="16" t="inlineStr">
        <is>
          <t>funded</t>
        </is>
      </c>
      <c r="E89" s="21" t="n">
        <v>4000</v>
      </c>
      <c r="F89" s="21" t="n">
        <v>4000</v>
      </c>
      <c r="G89" s="16" t="inlineStr">
        <is>
          <t>End of Day</t>
        </is>
      </c>
      <c r="H89" s="21" t="n">
        <v>2500</v>
      </c>
      <c r="I89" s="23" t="n">
        <v>0</v>
      </c>
      <c r="J89" s="31" t="n">
        <v>0.4</v>
      </c>
      <c r="K89" s="23" t="n"/>
      <c r="L89" s="31" t="n">
        <v>0.8</v>
      </c>
      <c r="M89" s="21" t="n">
        <v>3000</v>
      </c>
      <c r="N89" s="21" t="n"/>
      <c r="O89" s="28">
        <f>IF(A89="","",IF(SUMPRODUCT((Plans!$A$3:$A$300=A89)*(Plans!$B$3:$B$300=B89)*(Plans!$C$3:$C$300=C89))=0,"PLAN INCONNU","ok"))</f>
        <v/>
      </c>
    </row>
    <row r="90">
      <c r="A90" s="16" t="inlineStr">
        <is>
          <t>futures</t>
        </is>
      </c>
      <c r="B90" s="21" t="n">
        <v>150000</v>
      </c>
      <c r="C90" s="16" t="inlineStr">
        <is>
          <t>Swing</t>
        </is>
      </c>
      <c r="D90" s="16" t="inlineStr">
        <is>
          <t>evaluation</t>
        </is>
      </c>
      <c r="E90" s="21" t="n">
        <v>9000</v>
      </c>
      <c r="F90" s="21" t="n">
        <v>6000</v>
      </c>
      <c r="G90" s="16" t="inlineStr">
        <is>
          <t>End of Day</t>
        </is>
      </c>
      <c r="H90" s="21" t="n">
        <v>3750</v>
      </c>
      <c r="I90" s="23" t="n">
        <v>0</v>
      </c>
      <c r="J90" s="31" t="n">
        <v>0.4</v>
      </c>
      <c r="K90" s="23" t="n"/>
      <c r="L90" s="31" t="n"/>
      <c r="M90" s="21" t="n"/>
      <c r="N90" s="21" t="n"/>
      <c r="O90" s="28">
        <f>IF(A90="","",IF(SUMPRODUCT((Plans!$A$3:$A$300=A90)*(Plans!$B$3:$B$300=B90)*(Plans!$C$3:$C$300=C90))=0,"PLAN INCONNU","ok"))</f>
        <v/>
      </c>
    </row>
    <row r="91">
      <c r="A91" s="16" t="inlineStr">
        <is>
          <t>futures</t>
        </is>
      </c>
      <c r="B91" s="21" t="n">
        <v>150000</v>
      </c>
      <c r="C91" s="16" t="inlineStr">
        <is>
          <t>Swing</t>
        </is>
      </c>
      <c r="D91" s="16" t="inlineStr">
        <is>
          <t>funded</t>
        </is>
      </c>
      <c r="E91" s="21" t="n">
        <v>6000</v>
      </c>
      <c r="F91" s="21" t="n">
        <v>6000</v>
      </c>
      <c r="G91" s="16" t="inlineStr">
        <is>
          <t>End of Day</t>
        </is>
      </c>
      <c r="H91" s="21" t="n">
        <v>3750</v>
      </c>
      <c r="I91" s="23" t="n">
        <v>0</v>
      </c>
      <c r="J91" s="31" t="n">
        <v>0.4</v>
      </c>
      <c r="K91" s="23" t="n"/>
      <c r="L91" s="31" t="n">
        <v>0.8</v>
      </c>
      <c r="M91" s="21" t="n">
        <v>4500</v>
      </c>
      <c r="N91" s="21" t="n"/>
      <c r="O91" s="28">
        <f>IF(A91="","",IF(SUMPRODUCT((Plans!$A$3:$A$300=A91)*(Plans!$B$3:$B$300=B91)*(Plans!$C$3:$C$300=C91))=0,"PLAN INCONNU","ok"))</f>
        <v/>
      </c>
    </row>
    <row r="92">
      <c r="A92" s="16" t="n"/>
      <c r="B92" s="21" t="n"/>
      <c r="C92" s="16" t="n"/>
      <c r="D92" s="16" t="n"/>
      <c r="E92" s="21" t="n"/>
      <c r="F92" s="21" t="n"/>
      <c r="G92" s="16" t="n"/>
      <c r="H92" s="21" t="n"/>
      <c r="I92" s="23" t="n"/>
      <c r="J92" s="31" t="n"/>
      <c r="K92" s="23" t="n"/>
      <c r="L92" s="31" t="n"/>
      <c r="M92" s="21" t="n"/>
      <c r="N92" s="21" t="n"/>
      <c r="O92" s="28">
        <f>IF(A92="","",IF(SUMPRODUCT((Plans!$A$3:$A$300=A92)*(Plans!$B$3:$B$300=B92)*(Plans!$C$3:$C$300=C92))=0,"PLAN INCONNU","ok"))</f>
        <v/>
      </c>
    </row>
    <row r="93">
      <c r="A93" s="16" t="n"/>
      <c r="B93" s="21" t="n"/>
      <c r="C93" s="16" t="n"/>
      <c r="D93" s="16" t="n"/>
      <c r="E93" s="21" t="n"/>
      <c r="F93" s="21" t="n"/>
      <c r="G93" s="16" t="n"/>
      <c r="H93" s="21" t="n"/>
      <c r="I93" s="23" t="n"/>
      <c r="J93" s="31" t="n"/>
      <c r="K93" s="23" t="n"/>
      <c r="L93" s="31" t="n"/>
      <c r="M93" s="21" t="n"/>
      <c r="N93" s="21" t="n"/>
      <c r="O93" s="28">
        <f>IF(A93="","",IF(SUMPRODUCT((Plans!$A$3:$A$300=A93)*(Plans!$B$3:$B$300=B93)*(Plans!$C$3:$C$300=C93))=0,"PLAN INCONNU","ok"))</f>
        <v/>
      </c>
    </row>
    <row r="94">
      <c r="A94" s="16" t="n"/>
      <c r="B94" s="21" t="n"/>
      <c r="C94" s="16" t="n"/>
      <c r="D94" s="16" t="n"/>
      <c r="E94" s="21" t="n"/>
      <c r="F94" s="21" t="n"/>
      <c r="G94" s="16" t="n"/>
      <c r="H94" s="21" t="n"/>
      <c r="I94" s="23" t="n"/>
      <c r="J94" s="31" t="n"/>
      <c r="K94" s="23" t="n"/>
      <c r="L94" s="31" t="n"/>
      <c r="M94" s="21" t="n"/>
      <c r="N94" s="21" t="n"/>
      <c r="O94" s="28">
        <f>IF(A94="","",IF(SUMPRODUCT((Plans!$A$3:$A$300=A94)*(Plans!$B$3:$B$300=B94)*(Plans!$C$3:$C$300=C94))=0,"PLAN INCONNU","ok"))</f>
        <v/>
      </c>
    </row>
    <row r="95">
      <c r="A95" s="16" t="n"/>
      <c r="B95" s="21" t="n"/>
      <c r="C95" s="16" t="n"/>
      <c r="D95" s="16" t="n"/>
      <c r="E95" s="21" t="n"/>
      <c r="F95" s="21" t="n"/>
      <c r="G95" s="16" t="n"/>
      <c r="H95" s="21" t="n"/>
      <c r="I95" s="23" t="n"/>
      <c r="J95" s="31" t="n"/>
      <c r="K95" s="23" t="n"/>
      <c r="L95" s="31" t="n"/>
      <c r="M95" s="21" t="n"/>
      <c r="N95" s="21" t="n"/>
      <c r="O95" s="28">
        <f>IF(A95="","",IF(SUMPRODUCT((Plans!$A$3:$A$300=A95)*(Plans!$B$3:$B$300=B95)*(Plans!$C$3:$C$300=C95))=0,"PLAN INCONNU","ok"))</f>
        <v/>
      </c>
    </row>
    <row r="96">
      <c r="A96" s="16" t="n"/>
      <c r="B96" s="21" t="n"/>
      <c r="C96" s="16" t="n"/>
      <c r="D96" s="16" t="n"/>
      <c r="E96" s="21" t="n"/>
      <c r="F96" s="21" t="n"/>
      <c r="G96" s="16" t="n"/>
      <c r="H96" s="21" t="n"/>
      <c r="I96" s="23" t="n"/>
      <c r="J96" s="31" t="n"/>
      <c r="K96" s="23" t="n"/>
      <c r="L96" s="31" t="n"/>
      <c r="M96" s="21" t="n"/>
      <c r="N96" s="21" t="n"/>
      <c r="O96" s="28">
        <f>IF(A96="","",IF(SUMPRODUCT((Plans!$A$3:$A$300=A96)*(Plans!$B$3:$B$300=B96)*(Plans!$C$3:$C$300=C96))=0,"PLAN INCONNU","ok"))</f>
        <v/>
      </c>
    </row>
    <row r="97">
      <c r="A97" s="16" t="n"/>
      <c r="B97" s="21" t="n"/>
      <c r="C97" s="16" t="n"/>
      <c r="D97" s="16" t="n"/>
      <c r="E97" s="21" t="n"/>
      <c r="F97" s="21" t="n"/>
      <c r="G97" s="16" t="n"/>
      <c r="H97" s="21" t="n"/>
      <c r="I97" s="23" t="n"/>
      <c r="J97" s="31" t="n"/>
      <c r="K97" s="23" t="n"/>
      <c r="L97" s="31" t="n"/>
      <c r="M97" s="21" t="n"/>
      <c r="N97" s="21" t="n"/>
      <c r="O97" s="28">
        <f>IF(A97="","",IF(SUMPRODUCT((Plans!$A$3:$A$300=A97)*(Plans!$B$3:$B$300=B97)*(Plans!$C$3:$C$300=C97))=0,"PLAN INCONNU","ok"))</f>
        <v/>
      </c>
    </row>
    <row r="98">
      <c r="A98" s="16" t="n"/>
      <c r="B98" s="21" t="n"/>
      <c r="C98" s="16" t="n"/>
      <c r="D98" s="16" t="n"/>
      <c r="E98" s="21" t="n"/>
      <c r="F98" s="21" t="n"/>
      <c r="G98" s="16" t="n"/>
      <c r="H98" s="21" t="n"/>
      <c r="I98" s="23" t="n"/>
      <c r="J98" s="31" t="n"/>
      <c r="K98" s="23" t="n"/>
      <c r="L98" s="31" t="n"/>
      <c r="M98" s="21" t="n"/>
      <c r="N98" s="21" t="n"/>
      <c r="O98" s="28">
        <f>IF(A98="","",IF(SUMPRODUCT((Plans!$A$3:$A$300=A98)*(Plans!$B$3:$B$300=B98)*(Plans!$C$3:$C$300=C98))=0,"PLAN INCONNU","ok"))</f>
        <v/>
      </c>
    </row>
    <row r="99">
      <c r="A99" s="16" t="n"/>
      <c r="B99" s="21" t="n"/>
      <c r="C99" s="16" t="n"/>
      <c r="D99" s="16" t="n"/>
      <c r="E99" s="21" t="n"/>
      <c r="F99" s="21" t="n"/>
      <c r="G99" s="16" t="n"/>
      <c r="H99" s="21" t="n"/>
      <c r="I99" s="23" t="n"/>
      <c r="J99" s="31" t="n"/>
      <c r="K99" s="23" t="n"/>
      <c r="L99" s="31" t="n"/>
      <c r="M99" s="21" t="n"/>
      <c r="N99" s="21" t="n"/>
      <c r="O99" s="28">
        <f>IF(A99="","",IF(SUMPRODUCT((Plans!$A$3:$A$300=A99)*(Plans!$B$3:$B$300=B99)*(Plans!$C$3:$C$300=C99))=0,"PLAN INCONNU","ok"))</f>
        <v/>
      </c>
    </row>
    <row r="100">
      <c r="A100" s="16" t="n"/>
      <c r="B100" s="21" t="n"/>
      <c r="C100" s="16" t="n"/>
      <c r="D100" s="16" t="n"/>
      <c r="E100" s="21" t="n"/>
      <c r="F100" s="21" t="n"/>
      <c r="G100" s="16" t="n"/>
      <c r="H100" s="21" t="n"/>
      <c r="I100" s="23" t="n"/>
      <c r="J100" s="31" t="n"/>
      <c r="K100" s="23" t="n"/>
      <c r="L100" s="31" t="n"/>
      <c r="M100" s="21" t="n"/>
      <c r="N100" s="21" t="n"/>
      <c r="O100" s="28">
        <f>IF(A100="","",IF(SUMPRODUCT((Plans!$A$3:$A$300=A100)*(Plans!$B$3:$B$300=B100)*(Plans!$C$3:$C$300=C100))=0,"PLAN INCONNU","ok"))</f>
        <v/>
      </c>
    </row>
    <row r="101">
      <c r="A101" s="16" t="n"/>
      <c r="B101" s="21" t="n"/>
      <c r="C101" s="16" t="n"/>
      <c r="D101" s="16" t="n"/>
      <c r="E101" s="21" t="n"/>
      <c r="F101" s="21" t="n"/>
      <c r="G101" s="16" t="n"/>
      <c r="H101" s="21" t="n"/>
      <c r="I101" s="23" t="n"/>
      <c r="J101" s="31" t="n"/>
      <c r="K101" s="23" t="n"/>
      <c r="L101" s="31" t="n"/>
      <c r="M101" s="21" t="n"/>
      <c r="N101" s="21" t="n"/>
      <c r="O101" s="28">
        <f>IF(A101="","",IF(SUMPRODUCT((Plans!$A$3:$A$300=A101)*(Plans!$B$3:$B$300=B101)*(Plans!$C$3:$C$300=C101))=0,"PLAN INCONNU","ok"))</f>
        <v/>
      </c>
    </row>
    <row r="102">
      <c r="A102" s="16" t="n"/>
      <c r="B102" s="21" t="n"/>
      <c r="C102" s="16" t="n"/>
      <c r="D102" s="16" t="n"/>
      <c r="E102" s="21" t="n"/>
      <c r="F102" s="21" t="n"/>
      <c r="G102" s="16" t="n"/>
      <c r="H102" s="21" t="n"/>
      <c r="I102" s="23" t="n"/>
      <c r="J102" s="31" t="n"/>
      <c r="K102" s="23" t="n"/>
      <c r="L102" s="31" t="n"/>
      <c r="M102" s="21" t="n"/>
      <c r="N102" s="21" t="n"/>
      <c r="O102" s="28">
        <f>IF(A102="","",IF(SUMPRODUCT((Plans!$A$3:$A$300=A102)*(Plans!$B$3:$B$300=B102)*(Plans!$C$3:$C$300=C102))=0,"PLAN INCONNU","ok"))</f>
        <v/>
      </c>
    </row>
    <row r="103">
      <c r="A103" s="16" t="n"/>
      <c r="B103" s="21" t="n"/>
      <c r="C103" s="16" t="n"/>
      <c r="D103" s="16" t="n"/>
      <c r="E103" s="21" t="n"/>
      <c r="F103" s="21" t="n"/>
      <c r="G103" s="16" t="n"/>
      <c r="H103" s="21" t="n"/>
      <c r="I103" s="23" t="n"/>
      <c r="J103" s="31" t="n"/>
      <c r="K103" s="23" t="n"/>
      <c r="L103" s="31" t="n"/>
      <c r="M103" s="21" t="n"/>
      <c r="N103" s="21" t="n"/>
      <c r="O103" s="28">
        <f>IF(A103="","",IF(SUMPRODUCT((Plans!$A$3:$A$300=A103)*(Plans!$B$3:$B$300=B103)*(Plans!$C$3:$C$300=C103))=0,"PLAN INCONNU","ok"))</f>
        <v/>
      </c>
    </row>
    <row r="104">
      <c r="A104" s="16" t="n"/>
      <c r="B104" s="21" t="n"/>
      <c r="C104" s="16" t="n"/>
      <c r="D104" s="16" t="n"/>
      <c r="E104" s="21" t="n"/>
      <c r="F104" s="21" t="n"/>
      <c r="G104" s="16" t="n"/>
      <c r="H104" s="21" t="n"/>
      <c r="I104" s="23" t="n"/>
      <c r="J104" s="31" t="n"/>
      <c r="K104" s="23" t="n"/>
      <c r="L104" s="31" t="n"/>
      <c r="M104" s="21" t="n"/>
      <c r="N104" s="21" t="n"/>
      <c r="O104" s="28">
        <f>IF(A104="","",IF(SUMPRODUCT((Plans!$A$3:$A$300=A104)*(Plans!$B$3:$B$300=B104)*(Plans!$C$3:$C$300=C104))=0,"PLAN INCONNU","ok"))</f>
        <v/>
      </c>
    </row>
    <row r="105">
      <c r="A105" s="16" t="n"/>
      <c r="B105" s="21" t="n"/>
      <c r="C105" s="16" t="n"/>
      <c r="D105" s="16" t="n"/>
      <c r="E105" s="21" t="n"/>
      <c r="F105" s="21" t="n"/>
      <c r="G105" s="16" t="n"/>
      <c r="H105" s="21" t="n"/>
      <c r="I105" s="23" t="n"/>
      <c r="J105" s="31" t="n"/>
      <c r="K105" s="23" t="n"/>
      <c r="L105" s="31" t="n"/>
      <c r="M105" s="21" t="n"/>
      <c r="N105" s="21" t="n"/>
      <c r="O105" s="28">
        <f>IF(A105="","",IF(SUMPRODUCT((Plans!$A$3:$A$300=A105)*(Plans!$B$3:$B$300=B105)*(Plans!$C$3:$C$300=C105))=0,"PLAN INCONNU","ok"))</f>
        <v/>
      </c>
    </row>
    <row r="106">
      <c r="A106" s="16" t="n"/>
      <c r="B106" s="21" t="n"/>
      <c r="C106" s="16" t="n"/>
      <c r="D106" s="16" t="n"/>
      <c r="E106" s="21" t="n"/>
      <c r="F106" s="21" t="n"/>
      <c r="G106" s="16" t="n"/>
      <c r="H106" s="21" t="n"/>
      <c r="I106" s="23" t="n"/>
      <c r="J106" s="31" t="n"/>
      <c r="K106" s="23" t="n"/>
      <c r="L106" s="31" t="n"/>
      <c r="M106" s="21" t="n"/>
      <c r="N106" s="21" t="n"/>
      <c r="O106" s="28">
        <f>IF(A106="","",IF(SUMPRODUCT((Plans!$A$3:$A$300=A106)*(Plans!$B$3:$B$300=B106)*(Plans!$C$3:$C$300=C106))=0,"PLAN INCONNU","ok"))</f>
        <v/>
      </c>
    </row>
    <row r="107">
      <c r="A107" s="16" t="n"/>
      <c r="B107" s="21" t="n"/>
      <c r="C107" s="16" t="n"/>
      <c r="D107" s="16" t="n"/>
      <c r="E107" s="21" t="n"/>
      <c r="F107" s="21" t="n"/>
      <c r="G107" s="16" t="n"/>
      <c r="H107" s="21" t="n"/>
      <c r="I107" s="23" t="n"/>
      <c r="J107" s="31" t="n"/>
      <c r="K107" s="23" t="n"/>
      <c r="L107" s="31" t="n"/>
      <c r="M107" s="21" t="n"/>
      <c r="N107" s="21" t="n"/>
      <c r="O107" s="28">
        <f>IF(A107="","",IF(SUMPRODUCT((Plans!$A$3:$A$300=A107)*(Plans!$B$3:$B$300=B107)*(Plans!$C$3:$C$300=C107))=0,"PLAN INCONNU","ok"))</f>
        <v/>
      </c>
    </row>
    <row r="108">
      <c r="A108" s="16" t="n"/>
      <c r="B108" s="21" t="n"/>
      <c r="C108" s="16" t="n"/>
      <c r="D108" s="16" t="n"/>
      <c r="E108" s="21" t="n"/>
      <c r="F108" s="21" t="n"/>
      <c r="G108" s="16" t="n"/>
      <c r="H108" s="21" t="n"/>
      <c r="I108" s="23" t="n"/>
      <c r="J108" s="31" t="n"/>
      <c r="K108" s="23" t="n"/>
      <c r="L108" s="31" t="n"/>
      <c r="M108" s="21" t="n"/>
      <c r="N108" s="21" t="n"/>
      <c r="O108" s="28">
        <f>IF(A108="","",IF(SUMPRODUCT((Plans!$A$3:$A$300=A108)*(Plans!$B$3:$B$300=B108)*(Plans!$C$3:$C$300=C108))=0,"PLAN INCONNU","ok"))</f>
        <v/>
      </c>
    </row>
    <row r="109">
      <c r="A109" s="16" t="n"/>
      <c r="B109" s="21" t="n"/>
      <c r="C109" s="16" t="n"/>
      <c r="D109" s="16" t="n"/>
      <c r="E109" s="21" t="n"/>
      <c r="F109" s="21" t="n"/>
      <c r="G109" s="16" t="n"/>
      <c r="H109" s="21" t="n"/>
      <c r="I109" s="23" t="n"/>
      <c r="J109" s="31" t="n"/>
      <c r="K109" s="23" t="n"/>
      <c r="L109" s="31" t="n"/>
      <c r="M109" s="21" t="n"/>
      <c r="N109" s="21" t="n"/>
      <c r="O109" s="28">
        <f>IF(A109="","",IF(SUMPRODUCT((Plans!$A$3:$A$300=A109)*(Plans!$B$3:$B$300=B109)*(Plans!$C$3:$C$300=C109))=0,"PLAN INCONNU","ok"))</f>
        <v/>
      </c>
    </row>
    <row r="110">
      <c r="A110" s="16" t="n"/>
      <c r="B110" s="21" t="n"/>
      <c r="C110" s="16" t="n"/>
      <c r="D110" s="16" t="n"/>
      <c r="E110" s="21" t="n"/>
      <c r="F110" s="21" t="n"/>
      <c r="G110" s="16" t="n"/>
      <c r="H110" s="21" t="n"/>
      <c r="I110" s="23" t="n"/>
      <c r="J110" s="31" t="n"/>
      <c r="K110" s="23" t="n"/>
      <c r="L110" s="31" t="n"/>
      <c r="M110" s="21" t="n"/>
      <c r="N110" s="21" t="n"/>
      <c r="O110" s="28">
        <f>IF(A110="","",IF(SUMPRODUCT((Plans!$A$3:$A$300=A110)*(Plans!$B$3:$B$300=B110)*(Plans!$C$3:$C$300=C110))=0,"PLAN INCONNU","ok"))</f>
        <v/>
      </c>
    </row>
    <row r="111">
      <c r="A111" s="16" t="n"/>
      <c r="B111" s="21" t="n"/>
      <c r="C111" s="16" t="n"/>
      <c r="D111" s="16" t="n"/>
      <c r="E111" s="21" t="n"/>
      <c r="F111" s="21" t="n"/>
      <c r="G111" s="16" t="n"/>
      <c r="H111" s="21" t="n"/>
      <c r="I111" s="23" t="n"/>
      <c r="J111" s="31" t="n"/>
      <c r="K111" s="23" t="n"/>
      <c r="L111" s="31" t="n"/>
      <c r="M111" s="21" t="n"/>
      <c r="N111" s="21" t="n"/>
      <c r="O111" s="28">
        <f>IF(A111="","",IF(SUMPRODUCT((Plans!$A$3:$A$300=A111)*(Plans!$B$3:$B$300=B111)*(Plans!$C$3:$C$300=C111))=0,"PLAN INCONNU","ok"))</f>
        <v/>
      </c>
    </row>
    <row r="112">
      <c r="A112" s="16" t="n"/>
      <c r="B112" s="21" t="n"/>
      <c r="C112" s="16" t="n"/>
      <c r="D112" s="16" t="n"/>
      <c r="E112" s="21" t="n"/>
      <c r="F112" s="21" t="n"/>
      <c r="G112" s="16" t="n"/>
      <c r="H112" s="21" t="n"/>
      <c r="I112" s="23" t="n"/>
      <c r="J112" s="31" t="n"/>
      <c r="K112" s="23" t="n"/>
      <c r="L112" s="31" t="n"/>
      <c r="M112" s="21" t="n"/>
      <c r="N112" s="21" t="n"/>
      <c r="O112" s="28">
        <f>IF(A112="","",IF(SUMPRODUCT((Plans!$A$3:$A$300=A112)*(Plans!$B$3:$B$300=B112)*(Plans!$C$3:$C$300=C112))=0,"PLAN INCONNU","ok"))</f>
        <v/>
      </c>
    </row>
    <row r="113">
      <c r="A113" s="16" t="n"/>
      <c r="B113" s="21" t="n"/>
      <c r="C113" s="16" t="n"/>
      <c r="D113" s="16" t="n"/>
      <c r="E113" s="21" t="n"/>
      <c r="F113" s="21" t="n"/>
      <c r="G113" s="16" t="n"/>
      <c r="H113" s="21" t="n"/>
      <c r="I113" s="23" t="n"/>
      <c r="J113" s="31" t="n"/>
      <c r="K113" s="23" t="n"/>
      <c r="L113" s="31" t="n"/>
      <c r="M113" s="21" t="n"/>
      <c r="N113" s="21" t="n"/>
      <c r="O113" s="28">
        <f>IF(A113="","",IF(SUMPRODUCT((Plans!$A$3:$A$300=A113)*(Plans!$B$3:$B$300=B113)*(Plans!$C$3:$C$300=C113))=0,"PLAN INCONNU","ok"))</f>
        <v/>
      </c>
    </row>
    <row r="114">
      <c r="A114" s="16" t="n"/>
      <c r="B114" s="21" t="n"/>
      <c r="C114" s="16" t="n"/>
      <c r="D114" s="16" t="n"/>
      <c r="E114" s="21" t="n"/>
      <c r="F114" s="21" t="n"/>
      <c r="G114" s="16" t="n"/>
      <c r="H114" s="21" t="n"/>
      <c r="I114" s="23" t="n"/>
      <c r="J114" s="31" t="n"/>
      <c r="K114" s="23" t="n"/>
      <c r="L114" s="31" t="n"/>
      <c r="M114" s="21" t="n"/>
      <c r="N114" s="21" t="n"/>
      <c r="O114" s="28">
        <f>IF(A114="","",IF(SUMPRODUCT((Plans!$A$3:$A$300=A114)*(Plans!$B$3:$B$300=B114)*(Plans!$C$3:$C$300=C114))=0,"PLAN INCONNU","ok"))</f>
        <v/>
      </c>
    </row>
    <row r="115">
      <c r="A115" s="16" t="n"/>
      <c r="B115" s="21" t="n"/>
      <c r="C115" s="16" t="n"/>
      <c r="D115" s="16" t="n"/>
      <c r="E115" s="21" t="n"/>
      <c r="F115" s="21" t="n"/>
      <c r="G115" s="16" t="n"/>
      <c r="H115" s="21" t="n"/>
      <c r="I115" s="23" t="n"/>
      <c r="J115" s="31" t="n"/>
      <c r="K115" s="23" t="n"/>
      <c r="L115" s="31" t="n"/>
      <c r="M115" s="21" t="n"/>
      <c r="N115" s="21" t="n"/>
      <c r="O115" s="28">
        <f>IF(A115="","",IF(SUMPRODUCT((Plans!$A$3:$A$300=A115)*(Plans!$B$3:$B$300=B115)*(Plans!$C$3:$C$300=C115))=0,"PLAN INCONNU","ok"))</f>
        <v/>
      </c>
    </row>
    <row r="116">
      <c r="A116" s="16" t="n"/>
      <c r="B116" s="21" t="n"/>
      <c r="C116" s="16" t="n"/>
      <c r="D116" s="16" t="n"/>
      <c r="E116" s="21" t="n"/>
      <c r="F116" s="21" t="n"/>
      <c r="G116" s="16" t="n"/>
      <c r="H116" s="21" t="n"/>
      <c r="I116" s="23" t="n"/>
      <c r="J116" s="31" t="n"/>
      <c r="K116" s="23" t="n"/>
      <c r="L116" s="31" t="n"/>
      <c r="M116" s="21" t="n"/>
      <c r="N116" s="21" t="n"/>
      <c r="O116" s="28">
        <f>IF(A116="","",IF(SUMPRODUCT((Plans!$A$3:$A$300=A116)*(Plans!$B$3:$B$300=B116)*(Plans!$C$3:$C$300=C116))=0,"PLAN INCONNU","ok"))</f>
        <v/>
      </c>
    </row>
    <row r="117">
      <c r="A117" s="16" t="n"/>
      <c r="B117" s="21" t="n"/>
      <c r="C117" s="16" t="n"/>
      <c r="D117" s="16" t="n"/>
      <c r="E117" s="21" t="n"/>
      <c r="F117" s="21" t="n"/>
      <c r="G117" s="16" t="n"/>
      <c r="H117" s="21" t="n"/>
      <c r="I117" s="23" t="n"/>
      <c r="J117" s="31" t="n"/>
      <c r="K117" s="23" t="n"/>
      <c r="L117" s="31" t="n"/>
      <c r="M117" s="21" t="n"/>
      <c r="N117" s="21" t="n"/>
      <c r="O117" s="28">
        <f>IF(A117="","",IF(SUMPRODUCT((Plans!$A$3:$A$300=A117)*(Plans!$B$3:$B$300=B117)*(Plans!$C$3:$C$300=C117))=0,"PLAN INCONNU","ok"))</f>
        <v/>
      </c>
    </row>
    <row r="118">
      <c r="A118" s="16" t="n"/>
      <c r="B118" s="21" t="n"/>
      <c r="C118" s="16" t="n"/>
      <c r="D118" s="16" t="n"/>
      <c r="E118" s="21" t="n"/>
      <c r="F118" s="21" t="n"/>
      <c r="G118" s="16" t="n"/>
      <c r="H118" s="21" t="n"/>
      <c r="I118" s="23" t="n"/>
      <c r="J118" s="31" t="n"/>
      <c r="K118" s="23" t="n"/>
      <c r="L118" s="31" t="n"/>
      <c r="M118" s="21" t="n"/>
      <c r="N118" s="21" t="n"/>
      <c r="O118" s="28">
        <f>IF(A118="","",IF(SUMPRODUCT((Plans!$A$3:$A$300=A118)*(Plans!$B$3:$B$300=B118)*(Plans!$C$3:$C$300=C118))=0,"PLAN INCONNU","ok"))</f>
        <v/>
      </c>
    </row>
    <row r="119">
      <c r="A119" s="16" t="n"/>
      <c r="B119" s="21" t="n"/>
      <c r="C119" s="16" t="n"/>
      <c r="D119" s="16" t="n"/>
      <c r="E119" s="21" t="n"/>
      <c r="F119" s="21" t="n"/>
      <c r="G119" s="16" t="n"/>
      <c r="H119" s="21" t="n"/>
      <c r="I119" s="23" t="n"/>
      <c r="J119" s="31" t="n"/>
      <c r="K119" s="23" t="n"/>
      <c r="L119" s="31" t="n"/>
      <c r="M119" s="21" t="n"/>
      <c r="N119" s="21" t="n"/>
      <c r="O119" s="28">
        <f>IF(A119="","",IF(SUMPRODUCT((Plans!$A$3:$A$300=A119)*(Plans!$B$3:$B$300=B119)*(Plans!$C$3:$C$300=C119))=0,"PLAN INCONNU","ok"))</f>
        <v/>
      </c>
    </row>
    <row r="120">
      <c r="A120" s="16" t="n"/>
      <c r="B120" s="21" t="n"/>
      <c r="C120" s="16" t="n"/>
      <c r="D120" s="16" t="n"/>
      <c r="E120" s="21" t="n"/>
      <c r="F120" s="21" t="n"/>
      <c r="G120" s="16" t="n"/>
      <c r="H120" s="21" t="n"/>
      <c r="I120" s="23" t="n"/>
      <c r="J120" s="31" t="n"/>
      <c r="K120" s="23" t="n"/>
      <c r="L120" s="31" t="n"/>
      <c r="M120" s="21" t="n"/>
      <c r="N120" s="21" t="n"/>
      <c r="O120" s="28">
        <f>IF(A120="","",IF(SUMPRODUCT((Plans!$A$3:$A$300=A120)*(Plans!$B$3:$B$300=B120)*(Plans!$C$3:$C$300=C120))=0,"PLAN INCONNU","ok"))</f>
        <v/>
      </c>
    </row>
    <row r="121">
      <c r="A121" s="16" t="n"/>
      <c r="B121" s="21" t="n"/>
      <c r="C121" s="16" t="n"/>
      <c r="D121" s="16" t="n"/>
      <c r="E121" s="21" t="n"/>
      <c r="F121" s="21" t="n"/>
      <c r="G121" s="16" t="n"/>
      <c r="H121" s="21" t="n"/>
      <c r="I121" s="23" t="n"/>
      <c r="J121" s="31" t="n"/>
      <c r="K121" s="23" t="n"/>
      <c r="L121" s="31" t="n"/>
      <c r="M121" s="21" t="n"/>
      <c r="N121" s="21" t="n"/>
      <c r="O121" s="28">
        <f>IF(A121="","",IF(SUMPRODUCT((Plans!$A$3:$A$300=A121)*(Plans!$B$3:$B$300=B121)*(Plans!$C$3:$C$300=C121))=0,"PLAN INCONNU","ok"))</f>
        <v/>
      </c>
    </row>
    <row r="122">
      <c r="A122" s="16" t="n"/>
      <c r="B122" s="21" t="n"/>
      <c r="C122" s="16" t="n"/>
      <c r="D122" s="16" t="n"/>
      <c r="E122" s="21" t="n"/>
      <c r="F122" s="21" t="n"/>
      <c r="G122" s="16" t="n"/>
      <c r="H122" s="21" t="n"/>
      <c r="I122" s="23" t="n"/>
      <c r="J122" s="31" t="n"/>
      <c r="K122" s="23" t="n"/>
      <c r="L122" s="31" t="n"/>
      <c r="M122" s="21" t="n"/>
      <c r="N122" s="21" t="n"/>
      <c r="O122" s="28">
        <f>IF(A122="","",IF(SUMPRODUCT((Plans!$A$3:$A$300=A122)*(Plans!$B$3:$B$300=B122)*(Plans!$C$3:$C$300=C122))=0,"PLAN INCONNU","ok"))</f>
        <v/>
      </c>
    </row>
    <row r="123">
      <c r="A123" s="16" t="n"/>
      <c r="B123" s="21" t="n"/>
      <c r="C123" s="16" t="n"/>
      <c r="D123" s="16" t="n"/>
      <c r="E123" s="21" t="n"/>
      <c r="F123" s="21" t="n"/>
      <c r="G123" s="16" t="n"/>
      <c r="H123" s="21" t="n"/>
      <c r="I123" s="23" t="n"/>
      <c r="J123" s="31" t="n"/>
      <c r="K123" s="23" t="n"/>
      <c r="L123" s="31" t="n"/>
      <c r="M123" s="21" t="n"/>
      <c r="N123" s="21" t="n"/>
      <c r="O123" s="28">
        <f>IF(A123="","",IF(SUMPRODUCT((Plans!$A$3:$A$300=A123)*(Plans!$B$3:$B$300=B123)*(Plans!$C$3:$C$300=C123))=0,"PLAN INCONNU","ok"))</f>
        <v/>
      </c>
    </row>
    <row r="124">
      <c r="A124" s="16" t="n"/>
      <c r="B124" s="21" t="n"/>
      <c r="C124" s="16" t="n"/>
      <c r="D124" s="16" t="n"/>
      <c r="E124" s="21" t="n"/>
      <c r="F124" s="21" t="n"/>
      <c r="G124" s="16" t="n"/>
      <c r="H124" s="21" t="n"/>
      <c r="I124" s="23" t="n"/>
      <c r="J124" s="31" t="n"/>
      <c r="K124" s="23" t="n"/>
      <c r="L124" s="31" t="n"/>
      <c r="M124" s="21" t="n"/>
      <c r="N124" s="21" t="n"/>
      <c r="O124" s="28">
        <f>IF(A124="","",IF(SUMPRODUCT((Plans!$A$3:$A$300=A124)*(Plans!$B$3:$B$300=B124)*(Plans!$C$3:$C$300=C124))=0,"PLAN INCONNU","ok"))</f>
        <v/>
      </c>
    </row>
    <row r="125">
      <c r="A125" s="16" t="n"/>
      <c r="B125" s="21" t="n"/>
      <c r="C125" s="16" t="n"/>
      <c r="D125" s="16" t="n"/>
      <c r="E125" s="21" t="n"/>
      <c r="F125" s="21" t="n"/>
      <c r="G125" s="16" t="n"/>
      <c r="H125" s="21" t="n"/>
      <c r="I125" s="23" t="n"/>
      <c r="J125" s="31" t="n"/>
      <c r="K125" s="23" t="n"/>
      <c r="L125" s="31" t="n"/>
      <c r="M125" s="21" t="n"/>
      <c r="N125" s="21" t="n"/>
      <c r="O125" s="28">
        <f>IF(A125="","",IF(SUMPRODUCT((Plans!$A$3:$A$300=A125)*(Plans!$B$3:$B$300=B125)*(Plans!$C$3:$C$300=C125))=0,"PLAN INCONNU","ok"))</f>
        <v/>
      </c>
    </row>
    <row r="126">
      <c r="A126" s="16" t="n"/>
      <c r="B126" s="21" t="n"/>
      <c r="C126" s="16" t="n"/>
      <c r="D126" s="16" t="n"/>
      <c r="E126" s="21" t="n"/>
      <c r="F126" s="21" t="n"/>
      <c r="G126" s="16" t="n"/>
      <c r="H126" s="21" t="n"/>
      <c r="I126" s="23" t="n"/>
      <c r="J126" s="31" t="n"/>
      <c r="K126" s="23" t="n"/>
      <c r="L126" s="31" t="n"/>
      <c r="M126" s="21" t="n"/>
      <c r="N126" s="21" t="n"/>
      <c r="O126" s="28">
        <f>IF(A126="","",IF(SUMPRODUCT((Plans!$A$3:$A$300=A126)*(Plans!$B$3:$B$300=B126)*(Plans!$C$3:$C$300=C126))=0,"PLAN INCONNU","ok"))</f>
        <v/>
      </c>
    </row>
    <row r="127">
      <c r="A127" s="16" t="n"/>
      <c r="B127" s="21" t="n"/>
      <c r="C127" s="16" t="n"/>
      <c r="D127" s="16" t="n"/>
      <c r="E127" s="21" t="n"/>
      <c r="F127" s="21" t="n"/>
      <c r="G127" s="16" t="n"/>
      <c r="H127" s="21" t="n"/>
      <c r="I127" s="23" t="n"/>
      <c r="J127" s="31" t="n"/>
      <c r="K127" s="23" t="n"/>
      <c r="L127" s="31" t="n"/>
      <c r="M127" s="21" t="n"/>
      <c r="N127" s="21" t="n"/>
      <c r="O127" s="28">
        <f>IF(A127="","",IF(SUMPRODUCT((Plans!$A$3:$A$300=A127)*(Plans!$B$3:$B$300=B127)*(Plans!$C$3:$C$300=C127))=0,"PLAN INCONNU","ok"))</f>
        <v/>
      </c>
    </row>
    <row r="128">
      <c r="A128" s="16" t="n"/>
      <c r="B128" s="21" t="n"/>
      <c r="C128" s="16" t="n"/>
      <c r="D128" s="16" t="n"/>
      <c r="E128" s="21" t="n"/>
      <c r="F128" s="21" t="n"/>
      <c r="G128" s="16" t="n"/>
      <c r="H128" s="21" t="n"/>
      <c r="I128" s="23" t="n"/>
      <c r="J128" s="31" t="n"/>
      <c r="K128" s="23" t="n"/>
      <c r="L128" s="31" t="n"/>
      <c r="M128" s="21" t="n"/>
      <c r="N128" s="21" t="n"/>
      <c r="O128" s="28">
        <f>IF(A128="","",IF(SUMPRODUCT((Plans!$A$3:$A$300=A128)*(Plans!$B$3:$B$300=B128)*(Plans!$C$3:$C$300=C128))=0,"PLAN INCONNU","ok"))</f>
        <v/>
      </c>
    </row>
    <row r="129">
      <c r="A129" s="16" t="n"/>
      <c r="B129" s="21" t="n"/>
      <c r="C129" s="16" t="n"/>
      <c r="D129" s="16" t="n"/>
      <c r="E129" s="21" t="n"/>
      <c r="F129" s="21" t="n"/>
      <c r="G129" s="16" t="n"/>
      <c r="H129" s="21" t="n"/>
      <c r="I129" s="23" t="n"/>
      <c r="J129" s="31" t="n"/>
      <c r="K129" s="23" t="n"/>
      <c r="L129" s="31" t="n"/>
      <c r="M129" s="21" t="n"/>
      <c r="N129" s="21" t="n"/>
      <c r="O129" s="28">
        <f>IF(A129="","",IF(SUMPRODUCT((Plans!$A$3:$A$300=A129)*(Plans!$B$3:$B$300=B129)*(Plans!$C$3:$C$300=C129))=0,"PLAN INCONNU","ok"))</f>
        <v/>
      </c>
    </row>
    <row r="130">
      <c r="A130" s="16" t="n"/>
      <c r="B130" s="21" t="n"/>
      <c r="C130" s="16" t="n"/>
      <c r="D130" s="16" t="n"/>
      <c r="E130" s="21" t="n"/>
      <c r="F130" s="21" t="n"/>
      <c r="G130" s="16" t="n"/>
      <c r="H130" s="21" t="n"/>
      <c r="I130" s="23" t="n"/>
      <c r="J130" s="31" t="n"/>
      <c r="K130" s="23" t="n"/>
      <c r="L130" s="31" t="n"/>
      <c r="M130" s="21" t="n"/>
      <c r="N130" s="21" t="n"/>
      <c r="O130" s="28">
        <f>IF(A130="","",IF(SUMPRODUCT((Plans!$A$3:$A$300=A130)*(Plans!$B$3:$B$300=B130)*(Plans!$C$3:$C$300=C130))=0,"PLAN INCONNU","ok"))</f>
        <v/>
      </c>
    </row>
    <row r="131">
      <c r="A131" s="16" t="n"/>
      <c r="B131" s="21" t="n"/>
      <c r="C131" s="16" t="n"/>
      <c r="D131" s="16" t="n"/>
      <c r="E131" s="21" t="n"/>
      <c r="F131" s="21" t="n"/>
      <c r="G131" s="16" t="n"/>
      <c r="H131" s="21" t="n"/>
      <c r="I131" s="23" t="n"/>
      <c r="J131" s="31" t="n"/>
      <c r="K131" s="23" t="n"/>
      <c r="L131" s="31" t="n"/>
      <c r="M131" s="21" t="n"/>
      <c r="N131" s="21" t="n"/>
      <c r="O131" s="28">
        <f>IF(A131="","",IF(SUMPRODUCT((Plans!$A$3:$A$300=A131)*(Plans!$B$3:$B$300=B131)*(Plans!$C$3:$C$300=C131))=0,"PLAN INCONNU","ok"))</f>
        <v/>
      </c>
    </row>
    <row r="132">
      <c r="A132" s="16" t="n"/>
      <c r="B132" s="21" t="n"/>
      <c r="C132" s="16" t="n"/>
      <c r="D132" s="16" t="n"/>
      <c r="E132" s="21" t="n"/>
      <c r="F132" s="21" t="n"/>
      <c r="G132" s="16" t="n"/>
      <c r="H132" s="21" t="n"/>
      <c r="I132" s="23" t="n"/>
      <c r="J132" s="31" t="n"/>
      <c r="K132" s="23" t="n"/>
      <c r="L132" s="31" t="n"/>
      <c r="M132" s="21" t="n"/>
      <c r="N132" s="21" t="n"/>
      <c r="O132" s="28">
        <f>IF(A132="","",IF(SUMPRODUCT((Plans!$A$3:$A$300=A132)*(Plans!$B$3:$B$300=B132)*(Plans!$C$3:$C$300=C132))=0,"PLAN INCONNU","ok"))</f>
        <v/>
      </c>
    </row>
    <row r="133">
      <c r="A133" s="16" t="n"/>
      <c r="B133" s="21" t="n"/>
      <c r="C133" s="16" t="n"/>
      <c r="D133" s="16" t="n"/>
      <c r="E133" s="21" t="n"/>
      <c r="F133" s="21" t="n"/>
      <c r="G133" s="16" t="n"/>
      <c r="H133" s="21" t="n"/>
      <c r="I133" s="23" t="n"/>
      <c r="J133" s="31" t="n"/>
      <c r="K133" s="23" t="n"/>
      <c r="L133" s="31" t="n"/>
      <c r="M133" s="21" t="n"/>
      <c r="N133" s="21" t="n"/>
      <c r="O133" s="28">
        <f>IF(A133="","",IF(SUMPRODUCT((Plans!$A$3:$A$300=A133)*(Plans!$B$3:$B$300=B133)*(Plans!$C$3:$C$300=C133))=0,"PLAN INCONNU","ok"))</f>
        <v/>
      </c>
    </row>
    <row r="134">
      <c r="A134" s="16" t="n"/>
      <c r="B134" s="21" t="n"/>
      <c r="C134" s="16" t="n"/>
      <c r="D134" s="16" t="n"/>
      <c r="E134" s="21" t="n"/>
      <c r="F134" s="21" t="n"/>
      <c r="G134" s="16" t="n"/>
      <c r="H134" s="21" t="n"/>
      <c r="I134" s="23" t="n"/>
      <c r="J134" s="31" t="n"/>
      <c r="K134" s="23" t="n"/>
      <c r="L134" s="31" t="n"/>
      <c r="M134" s="21" t="n"/>
      <c r="N134" s="21" t="n"/>
      <c r="O134" s="28">
        <f>IF(A134="","",IF(SUMPRODUCT((Plans!$A$3:$A$300=A134)*(Plans!$B$3:$B$300=B134)*(Plans!$C$3:$C$300=C134))=0,"PLAN INCONNU","ok"))</f>
        <v/>
      </c>
    </row>
    <row r="135">
      <c r="A135" s="16" t="n"/>
      <c r="B135" s="21" t="n"/>
      <c r="C135" s="16" t="n"/>
      <c r="D135" s="16" t="n"/>
      <c r="E135" s="21" t="n"/>
      <c r="F135" s="21" t="n"/>
      <c r="G135" s="16" t="n"/>
      <c r="H135" s="21" t="n"/>
      <c r="I135" s="23" t="n"/>
      <c r="J135" s="31" t="n"/>
      <c r="K135" s="23" t="n"/>
      <c r="L135" s="31" t="n"/>
      <c r="M135" s="21" t="n"/>
      <c r="N135" s="21" t="n"/>
      <c r="O135" s="28">
        <f>IF(A135="","",IF(SUMPRODUCT((Plans!$A$3:$A$300=A135)*(Plans!$B$3:$B$300=B135)*(Plans!$C$3:$C$300=C135))=0,"PLAN INCONNU","ok"))</f>
        <v/>
      </c>
    </row>
    <row r="136">
      <c r="A136" s="16" t="n"/>
      <c r="B136" s="21" t="n"/>
      <c r="C136" s="16" t="n"/>
      <c r="D136" s="16" t="n"/>
      <c r="E136" s="21" t="n"/>
      <c r="F136" s="21" t="n"/>
      <c r="G136" s="16" t="n"/>
      <c r="H136" s="21" t="n"/>
      <c r="I136" s="23" t="n"/>
      <c r="J136" s="31" t="n"/>
      <c r="K136" s="23" t="n"/>
      <c r="L136" s="31" t="n"/>
      <c r="M136" s="21" t="n"/>
      <c r="N136" s="21" t="n"/>
      <c r="O136" s="28">
        <f>IF(A136="","",IF(SUMPRODUCT((Plans!$A$3:$A$300=A136)*(Plans!$B$3:$B$300=B136)*(Plans!$C$3:$C$300=C136))=0,"PLAN INCONNU","ok"))</f>
        <v/>
      </c>
    </row>
    <row r="137">
      <c r="A137" s="16" t="n"/>
      <c r="B137" s="21" t="n"/>
      <c r="C137" s="16" t="n"/>
      <c r="D137" s="16" t="n"/>
      <c r="E137" s="21" t="n"/>
      <c r="F137" s="21" t="n"/>
      <c r="G137" s="16" t="n"/>
      <c r="H137" s="21" t="n"/>
      <c r="I137" s="23" t="n"/>
      <c r="J137" s="31" t="n"/>
      <c r="K137" s="23" t="n"/>
      <c r="L137" s="31" t="n"/>
      <c r="M137" s="21" t="n"/>
      <c r="N137" s="21" t="n"/>
      <c r="O137" s="28">
        <f>IF(A137="","",IF(SUMPRODUCT((Plans!$A$3:$A$300=A137)*(Plans!$B$3:$B$300=B137)*(Plans!$C$3:$C$300=C137))=0,"PLAN INCONNU","ok"))</f>
        <v/>
      </c>
    </row>
    <row r="138">
      <c r="A138" s="16" t="n"/>
      <c r="B138" s="21" t="n"/>
      <c r="C138" s="16" t="n"/>
      <c r="D138" s="16" t="n"/>
      <c r="E138" s="21" t="n"/>
      <c r="F138" s="21" t="n"/>
      <c r="G138" s="16" t="n"/>
      <c r="H138" s="21" t="n"/>
      <c r="I138" s="23" t="n"/>
      <c r="J138" s="31" t="n"/>
      <c r="K138" s="23" t="n"/>
      <c r="L138" s="31" t="n"/>
      <c r="M138" s="21" t="n"/>
      <c r="N138" s="21" t="n"/>
      <c r="O138" s="28">
        <f>IF(A138="","",IF(SUMPRODUCT((Plans!$A$3:$A$300=A138)*(Plans!$B$3:$B$300=B138)*(Plans!$C$3:$C$300=C138))=0,"PLAN INCONNU","ok"))</f>
        <v/>
      </c>
    </row>
    <row r="139">
      <c r="A139" s="16" t="n"/>
      <c r="B139" s="21" t="n"/>
      <c r="C139" s="16" t="n"/>
      <c r="D139" s="16" t="n"/>
      <c r="E139" s="21" t="n"/>
      <c r="F139" s="21" t="n"/>
      <c r="G139" s="16" t="n"/>
      <c r="H139" s="21" t="n"/>
      <c r="I139" s="23" t="n"/>
      <c r="J139" s="31" t="n"/>
      <c r="K139" s="23" t="n"/>
      <c r="L139" s="31" t="n"/>
      <c r="M139" s="21" t="n"/>
      <c r="N139" s="21" t="n"/>
      <c r="O139" s="28">
        <f>IF(A139="","",IF(SUMPRODUCT((Plans!$A$3:$A$300=A139)*(Plans!$B$3:$B$300=B139)*(Plans!$C$3:$C$300=C139))=0,"PLAN INCONNU","ok"))</f>
        <v/>
      </c>
    </row>
    <row r="140">
      <c r="A140" s="16" t="n"/>
      <c r="B140" s="21" t="n"/>
      <c r="C140" s="16" t="n"/>
      <c r="D140" s="16" t="n"/>
      <c r="E140" s="21" t="n"/>
      <c r="F140" s="21" t="n"/>
      <c r="G140" s="16" t="n"/>
      <c r="H140" s="21" t="n"/>
      <c r="I140" s="23" t="n"/>
      <c r="J140" s="31" t="n"/>
      <c r="K140" s="23" t="n"/>
      <c r="L140" s="31" t="n"/>
      <c r="M140" s="21" t="n"/>
      <c r="N140" s="21" t="n"/>
      <c r="O140" s="28">
        <f>IF(A140="","",IF(SUMPRODUCT((Plans!$A$3:$A$300=A140)*(Plans!$B$3:$B$300=B140)*(Plans!$C$3:$C$300=C140))=0,"PLAN INCONNU","ok"))</f>
        <v/>
      </c>
    </row>
    <row r="141">
      <c r="A141" s="16" t="n"/>
      <c r="B141" s="21" t="n"/>
      <c r="C141" s="16" t="n"/>
      <c r="D141" s="16" t="n"/>
      <c r="E141" s="21" t="n"/>
      <c r="F141" s="21" t="n"/>
      <c r="G141" s="16" t="n"/>
      <c r="H141" s="21" t="n"/>
      <c r="I141" s="23" t="n"/>
      <c r="J141" s="31" t="n"/>
      <c r="K141" s="23" t="n"/>
      <c r="L141" s="31" t="n"/>
      <c r="M141" s="21" t="n"/>
      <c r="N141" s="21" t="n"/>
      <c r="O141" s="28">
        <f>IF(A141="","",IF(SUMPRODUCT((Plans!$A$3:$A$300=A141)*(Plans!$B$3:$B$300=B141)*(Plans!$C$3:$C$300=C141))=0,"PLAN INCONNU","ok"))</f>
        <v/>
      </c>
    </row>
    <row r="142">
      <c r="A142" s="16" t="n"/>
      <c r="B142" s="21" t="n"/>
      <c r="C142" s="16" t="n"/>
      <c r="D142" s="16" t="n"/>
      <c r="E142" s="21" t="n"/>
      <c r="F142" s="21" t="n"/>
      <c r="G142" s="16" t="n"/>
      <c r="H142" s="21" t="n"/>
      <c r="I142" s="23" t="n"/>
      <c r="J142" s="31" t="n"/>
      <c r="K142" s="23" t="n"/>
      <c r="L142" s="31" t="n"/>
      <c r="M142" s="21" t="n"/>
      <c r="N142" s="21" t="n"/>
      <c r="O142" s="28">
        <f>IF(A142="","",IF(SUMPRODUCT((Plans!$A$3:$A$300=A142)*(Plans!$B$3:$B$300=B142)*(Plans!$C$3:$C$300=C142))=0,"PLAN INCONNU","ok"))</f>
        <v/>
      </c>
    </row>
    <row r="143">
      <c r="A143" s="16" t="n"/>
      <c r="B143" s="21" t="n"/>
      <c r="C143" s="16" t="n"/>
      <c r="D143" s="16" t="n"/>
      <c r="E143" s="21" t="n"/>
      <c r="F143" s="21" t="n"/>
      <c r="G143" s="16" t="n"/>
      <c r="H143" s="21" t="n"/>
      <c r="I143" s="23" t="n"/>
      <c r="J143" s="31" t="n"/>
      <c r="K143" s="23" t="n"/>
      <c r="L143" s="31" t="n"/>
      <c r="M143" s="21" t="n"/>
      <c r="N143" s="21" t="n"/>
      <c r="O143" s="28">
        <f>IF(A143="","",IF(SUMPRODUCT((Plans!$A$3:$A$300=A143)*(Plans!$B$3:$B$300=B143)*(Plans!$C$3:$C$300=C143))=0,"PLAN INCONNU","ok"))</f>
        <v/>
      </c>
    </row>
    <row r="144">
      <c r="A144" s="16" t="n"/>
      <c r="B144" s="21" t="n"/>
      <c r="C144" s="16" t="n"/>
      <c r="D144" s="16" t="n"/>
      <c r="E144" s="21" t="n"/>
      <c r="F144" s="21" t="n"/>
      <c r="G144" s="16" t="n"/>
      <c r="H144" s="21" t="n"/>
      <c r="I144" s="23" t="n"/>
      <c r="J144" s="31" t="n"/>
      <c r="K144" s="23" t="n"/>
      <c r="L144" s="31" t="n"/>
      <c r="M144" s="21" t="n"/>
      <c r="N144" s="21" t="n"/>
      <c r="O144" s="28">
        <f>IF(A144="","",IF(SUMPRODUCT((Plans!$A$3:$A$300=A144)*(Plans!$B$3:$B$300=B144)*(Plans!$C$3:$C$300=C144))=0,"PLAN INCONNU","ok"))</f>
        <v/>
      </c>
    </row>
    <row r="145">
      <c r="A145" s="16" t="n"/>
      <c r="B145" s="21" t="n"/>
      <c r="C145" s="16" t="n"/>
      <c r="D145" s="16" t="n"/>
      <c r="E145" s="21" t="n"/>
      <c r="F145" s="21" t="n"/>
      <c r="G145" s="16" t="n"/>
      <c r="H145" s="21" t="n"/>
      <c r="I145" s="23" t="n"/>
      <c r="J145" s="31" t="n"/>
      <c r="K145" s="23" t="n"/>
      <c r="L145" s="31" t="n"/>
      <c r="M145" s="21" t="n"/>
      <c r="N145" s="21" t="n"/>
      <c r="O145" s="28">
        <f>IF(A145="","",IF(SUMPRODUCT((Plans!$A$3:$A$300=A145)*(Plans!$B$3:$B$300=B145)*(Plans!$C$3:$C$300=C145))=0,"PLAN INCONNU","ok"))</f>
        <v/>
      </c>
    </row>
    <row r="146">
      <c r="A146" s="16" t="n"/>
      <c r="B146" s="21" t="n"/>
      <c r="C146" s="16" t="n"/>
      <c r="D146" s="16" t="n"/>
      <c r="E146" s="21" t="n"/>
      <c r="F146" s="21" t="n"/>
      <c r="G146" s="16" t="n"/>
      <c r="H146" s="21" t="n"/>
      <c r="I146" s="23" t="n"/>
      <c r="J146" s="31" t="n"/>
      <c r="K146" s="23" t="n"/>
      <c r="L146" s="31" t="n"/>
      <c r="M146" s="21" t="n"/>
      <c r="N146" s="21" t="n"/>
      <c r="O146" s="28">
        <f>IF(A146="","",IF(SUMPRODUCT((Plans!$A$3:$A$300=A146)*(Plans!$B$3:$B$300=B146)*(Plans!$C$3:$C$300=C146))=0,"PLAN INCONNU","ok"))</f>
        <v/>
      </c>
    </row>
    <row r="147">
      <c r="A147" s="16" t="n"/>
      <c r="B147" s="21" t="n"/>
      <c r="C147" s="16" t="n"/>
      <c r="D147" s="16" t="n"/>
      <c r="E147" s="21" t="n"/>
      <c r="F147" s="21" t="n"/>
      <c r="G147" s="16" t="n"/>
      <c r="H147" s="21" t="n"/>
      <c r="I147" s="23" t="n"/>
      <c r="J147" s="31" t="n"/>
      <c r="K147" s="23" t="n"/>
      <c r="L147" s="31" t="n"/>
      <c r="M147" s="21" t="n"/>
      <c r="N147" s="21" t="n"/>
      <c r="O147" s="28">
        <f>IF(A147="","",IF(SUMPRODUCT((Plans!$A$3:$A$300=A147)*(Plans!$B$3:$B$300=B147)*(Plans!$C$3:$C$300=C147))=0,"PLAN INCONNU","ok"))</f>
        <v/>
      </c>
    </row>
    <row r="148">
      <c r="A148" s="16" t="n"/>
      <c r="B148" s="21" t="n"/>
      <c r="C148" s="16" t="n"/>
      <c r="D148" s="16" t="n"/>
      <c r="E148" s="21" t="n"/>
      <c r="F148" s="21" t="n"/>
      <c r="G148" s="16" t="n"/>
      <c r="H148" s="21" t="n"/>
      <c r="I148" s="23" t="n"/>
      <c r="J148" s="31" t="n"/>
      <c r="K148" s="23" t="n"/>
      <c r="L148" s="31" t="n"/>
      <c r="M148" s="21" t="n"/>
      <c r="N148" s="21" t="n"/>
      <c r="O148" s="28">
        <f>IF(A148="","",IF(SUMPRODUCT((Plans!$A$3:$A$300=A148)*(Plans!$B$3:$B$300=B148)*(Plans!$C$3:$C$300=C148))=0,"PLAN INCONNU","ok"))</f>
        <v/>
      </c>
    </row>
    <row r="149">
      <c r="A149" s="16" t="n"/>
      <c r="B149" s="21" t="n"/>
      <c r="C149" s="16" t="n"/>
      <c r="D149" s="16" t="n"/>
      <c r="E149" s="21" t="n"/>
      <c r="F149" s="21" t="n"/>
      <c r="G149" s="16" t="n"/>
      <c r="H149" s="21" t="n"/>
      <c r="I149" s="23" t="n"/>
      <c r="J149" s="31" t="n"/>
      <c r="K149" s="23" t="n"/>
      <c r="L149" s="31" t="n"/>
      <c r="M149" s="21" t="n"/>
      <c r="N149" s="21" t="n"/>
      <c r="O149" s="28">
        <f>IF(A149="","",IF(SUMPRODUCT((Plans!$A$3:$A$300=A149)*(Plans!$B$3:$B$300=B149)*(Plans!$C$3:$C$300=C149))=0,"PLAN INCONNU","ok"))</f>
        <v/>
      </c>
    </row>
    <row r="150">
      <c r="A150" s="16" t="n"/>
      <c r="B150" s="21" t="n"/>
      <c r="C150" s="16" t="n"/>
      <c r="D150" s="16" t="n"/>
      <c r="E150" s="21" t="n"/>
      <c r="F150" s="21" t="n"/>
      <c r="G150" s="16" t="n"/>
      <c r="H150" s="21" t="n"/>
      <c r="I150" s="23" t="n"/>
      <c r="J150" s="31" t="n"/>
      <c r="K150" s="23" t="n"/>
      <c r="L150" s="31" t="n"/>
      <c r="M150" s="21" t="n"/>
      <c r="N150" s="21" t="n"/>
      <c r="O150" s="28">
        <f>IF(A150="","",IF(SUMPRODUCT((Plans!$A$3:$A$300=A150)*(Plans!$B$3:$B$300=B150)*(Plans!$C$3:$C$300=C150))=0,"PLAN INCONNU","ok"))</f>
        <v/>
      </c>
    </row>
    <row r="151">
      <c r="A151" s="16" t="n"/>
      <c r="B151" s="21" t="n"/>
      <c r="C151" s="16" t="n"/>
      <c r="D151" s="16" t="n"/>
      <c r="E151" s="21" t="n"/>
      <c r="F151" s="21" t="n"/>
      <c r="G151" s="16" t="n"/>
      <c r="H151" s="21" t="n"/>
      <c r="I151" s="23" t="n"/>
      <c r="J151" s="31" t="n"/>
      <c r="K151" s="23" t="n"/>
      <c r="L151" s="31" t="n"/>
      <c r="M151" s="21" t="n"/>
      <c r="N151" s="21" t="n"/>
      <c r="O151" s="28">
        <f>IF(A151="","",IF(SUMPRODUCT((Plans!$A$3:$A$300=A151)*(Plans!$B$3:$B$300=B151)*(Plans!$C$3:$C$300=C151))=0,"PLAN INCONNU","ok"))</f>
        <v/>
      </c>
    </row>
    <row r="152">
      <c r="A152" s="16" t="n"/>
      <c r="B152" s="21" t="n"/>
      <c r="C152" s="16" t="n"/>
      <c r="D152" s="16" t="n"/>
      <c r="E152" s="21" t="n"/>
      <c r="F152" s="21" t="n"/>
      <c r="G152" s="16" t="n"/>
      <c r="H152" s="21" t="n"/>
      <c r="I152" s="23" t="n"/>
      <c r="J152" s="31" t="n"/>
      <c r="K152" s="23" t="n"/>
      <c r="L152" s="31" t="n"/>
      <c r="M152" s="21" t="n"/>
      <c r="N152" s="21" t="n"/>
      <c r="O152" s="28">
        <f>IF(A152="","",IF(SUMPRODUCT((Plans!$A$3:$A$300=A152)*(Plans!$B$3:$B$300=B152)*(Plans!$C$3:$C$300=C152))=0,"PLAN INCONNU","ok"))</f>
        <v/>
      </c>
    </row>
    <row r="153">
      <c r="A153" s="16" t="n"/>
      <c r="B153" s="21" t="n"/>
      <c r="C153" s="16" t="n"/>
      <c r="D153" s="16" t="n"/>
      <c r="E153" s="21" t="n"/>
      <c r="F153" s="21" t="n"/>
      <c r="G153" s="16" t="n"/>
      <c r="H153" s="21" t="n"/>
      <c r="I153" s="23" t="n"/>
      <c r="J153" s="31" t="n"/>
      <c r="K153" s="23" t="n"/>
      <c r="L153" s="31" t="n"/>
      <c r="M153" s="21" t="n"/>
      <c r="N153" s="21" t="n"/>
      <c r="O153" s="28">
        <f>IF(A153="","",IF(SUMPRODUCT((Plans!$A$3:$A$300=A153)*(Plans!$B$3:$B$300=B153)*(Plans!$C$3:$C$300=C153))=0,"PLAN INCONNU","ok"))</f>
        <v/>
      </c>
    </row>
    <row r="154">
      <c r="A154" s="16" t="n"/>
      <c r="B154" s="21" t="n"/>
      <c r="C154" s="16" t="n"/>
      <c r="D154" s="16" t="n"/>
      <c r="E154" s="21" t="n"/>
      <c r="F154" s="21" t="n"/>
      <c r="G154" s="16" t="n"/>
      <c r="H154" s="21" t="n"/>
      <c r="I154" s="23" t="n"/>
      <c r="J154" s="31" t="n"/>
      <c r="K154" s="23" t="n"/>
      <c r="L154" s="31" t="n"/>
      <c r="M154" s="21" t="n"/>
      <c r="N154" s="21" t="n"/>
      <c r="O154" s="28">
        <f>IF(A154="","",IF(SUMPRODUCT((Plans!$A$3:$A$300=A154)*(Plans!$B$3:$B$300=B154)*(Plans!$C$3:$C$300=C154))=0,"PLAN INCONNU","ok"))</f>
        <v/>
      </c>
    </row>
    <row r="155">
      <c r="A155" s="16" t="n"/>
      <c r="B155" s="21" t="n"/>
      <c r="C155" s="16" t="n"/>
      <c r="D155" s="16" t="n"/>
      <c r="E155" s="21" t="n"/>
      <c r="F155" s="21" t="n"/>
      <c r="G155" s="16" t="n"/>
      <c r="H155" s="21" t="n"/>
      <c r="I155" s="23" t="n"/>
      <c r="J155" s="31" t="n"/>
      <c r="K155" s="23" t="n"/>
      <c r="L155" s="31" t="n"/>
      <c r="M155" s="21" t="n"/>
      <c r="N155" s="21" t="n"/>
      <c r="O155" s="28">
        <f>IF(A155="","",IF(SUMPRODUCT((Plans!$A$3:$A$300=A155)*(Plans!$B$3:$B$300=B155)*(Plans!$C$3:$C$300=C155))=0,"PLAN INCONNU","ok"))</f>
        <v/>
      </c>
    </row>
    <row r="156">
      <c r="A156" s="16" t="n"/>
      <c r="B156" s="21" t="n"/>
      <c r="C156" s="16" t="n"/>
      <c r="D156" s="16" t="n"/>
      <c r="E156" s="21" t="n"/>
      <c r="F156" s="21" t="n"/>
      <c r="G156" s="16" t="n"/>
      <c r="H156" s="21" t="n"/>
      <c r="I156" s="23" t="n"/>
      <c r="J156" s="31" t="n"/>
      <c r="K156" s="23" t="n"/>
      <c r="L156" s="31" t="n"/>
      <c r="M156" s="21" t="n"/>
      <c r="N156" s="21" t="n"/>
      <c r="O156" s="28">
        <f>IF(A156="","",IF(SUMPRODUCT((Plans!$A$3:$A$300=A156)*(Plans!$B$3:$B$300=B156)*(Plans!$C$3:$C$300=C156))=0,"PLAN INCONNU","ok"))</f>
        <v/>
      </c>
    </row>
    <row r="157">
      <c r="A157" s="16" t="n"/>
      <c r="B157" s="21" t="n"/>
      <c r="C157" s="16" t="n"/>
      <c r="D157" s="16" t="n"/>
      <c r="E157" s="21" t="n"/>
      <c r="F157" s="21" t="n"/>
      <c r="G157" s="16" t="n"/>
      <c r="H157" s="21" t="n"/>
      <c r="I157" s="23" t="n"/>
      <c r="J157" s="31" t="n"/>
      <c r="K157" s="23" t="n"/>
      <c r="L157" s="31" t="n"/>
      <c r="M157" s="21" t="n"/>
      <c r="N157" s="21" t="n"/>
      <c r="O157" s="28">
        <f>IF(A157="","",IF(SUMPRODUCT((Plans!$A$3:$A$300=A157)*(Plans!$B$3:$B$300=B157)*(Plans!$C$3:$C$300=C157))=0,"PLAN INCONNU","ok"))</f>
        <v/>
      </c>
    </row>
    <row r="158">
      <c r="A158" s="16" t="n"/>
      <c r="B158" s="21" t="n"/>
      <c r="C158" s="16" t="n"/>
      <c r="D158" s="16" t="n"/>
      <c r="E158" s="21" t="n"/>
      <c r="F158" s="21" t="n"/>
      <c r="G158" s="16" t="n"/>
      <c r="H158" s="21" t="n"/>
      <c r="I158" s="23" t="n"/>
      <c r="J158" s="31" t="n"/>
      <c r="K158" s="23" t="n"/>
      <c r="L158" s="31" t="n"/>
      <c r="M158" s="21" t="n"/>
      <c r="N158" s="21" t="n"/>
      <c r="O158" s="28">
        <f>IF(A158="","",IF(SUMPRODUCT((Plans!$A$3:$A$300=A158)*(Plans!$B$3:$B$300=B158)*(Plans!$C$3:$C$300=C158))=0,"PLAN INCONNU","ok"))</f>
        <v/>
      </c>
    </row>
    <row r="159">
      <c r="A159" s="16" t="n"/>
      <c r="B159" s="21" t="n"/>
      <c r="C159" s="16" t="n"/>
      <c r="D159" s="16" t="n"/>
      <c r="E159" s="21" t="n"/>
      <c r="F159" s="21" t="n"/>
      <c r="G159" s="16" t="n"/>
      <c r="H159" s="21" t="n"/>
      <c r="I159" s="23" t="n"/>
      <c r="J159" s="31" t="n"/>
      <c r="K159" s="23" t="n"/>
      <c r="L159" s="31" t="n"/>
      <c r="M159" s="21" t="n"/>
      <c r="N159" s="21" t="n"/>
      <c r="O159" s="28">
        <f>IF(A159="","",IF(SUMPRODUCT((Plans!$A$3:$A$300=A159)*(Plans!$B$3:$B$300=B159)*(Plans!$C$3:$C$300=C159))=0,"PLAN INCONNU","ok"))</f>
        <v/>
      </c>
    </row>
    <row r="160">
      <c r="A160" s="16" t="n"/>
      <c r="B160" s="21" t="n"/>
      <c r="C160" s="16" t="n"/>
      <c r="D160" s="16" t="n"/>
      <c r="E160" s="21" t="n"/>
      <c r="F160" s="21" t="n"/>
      <c r="G160" s="16" t="n"/>
      <c r="H160" s="21" t="n"/>
      <c r="I160" s="23" t="n"/>
      <c r="J160" s="31" t="n"/>
      <c r="K160" s="23" t="n"/>
      <c r="L160" s="31" t="n"/>
      <c r="M160" s="21" t="n"/>
      <c r="N160" s="21" t="n"/>
      <c r="O160" s="28">
        <f>IF(A160="","",IF(SUMPRODUCT((Plans!$A$3:$A$300=A160)*(Plans!$B$3:$B$300=B160)*(Plans!$C$3:$C$300=C160))=0,"PLAN INCONNU","ok"))</f>
        <v/>
      </c>
    </row>
    <row r="161">
      <c r="A161" s="16" t="n"/>
      <c r="B161" s="21" t="n"/>
      <c r="C161" s="16" t="n"/>
      <c r="D161" s="16" t="n"/>
      <c r="E161" s="21" t="n"/>
      <c r="F161" s="21" t="n"/>
      <c r="G161" s="16" t="n"/>
      <c r="H161" s="21" t="n"/>
      <c r="I161" s="23" t="n"/>
      <c r="J161" s="31" t="n"/>
      <c r="K161" s="23" t="n"/>
      <c r="L161" s="31" t="n"/>
      <c r="M161" s="21" t="n"/>
      <c r="N161" s="21" t="n"/>
      <c r="O161" s="28">
        <f>IF(A161="","",IF(SUMPRODUCT((Plans!$A$3:$A$300=A161)*(Plans!$B$3:$B$300=B161)*(Plans!$C$3:$C$300=C161))=0,"PLAN INCONNU","ok"))</f>
        <v/>
      </c>
    </row>
    <row r="162">
      <c r="A162" s="16" t="n"/>
      <c r="B162" s="21" t="n"/>
      <c r="C162" s="16" t="n"/>
      <c r="D162" s="16" t="n"/>
      <c r="E162" s="21" t="n"/>
      <c r="F162" s="21" t="n"/>
      <c r="G162" s="16" t="n"/>
      <c r="H162" s="21" t="n"/>
      <c r="I162" s="23" t="n"/>
      <c r="J162" s="31" t="n"/>
      <c r="K162" s="23" t="n"/>
      <c r="L162" s="31" t="n"/>
      <c r="M162" s="21" t="n"/>
      <c r="N162" s="21" t="n"/>
      <c r="O162" s="28">
        <f>IF(A162="","",IF(SUMPRODUCT((Plans!$A$3:$A$300=A162)*(Plans!$B$3:$B$300=B162)*(Plans!$C$3:$C$300=C162))=0,"PLAN INCONNU","ok"))</f>
        <v/>
      </c>
    </row>
    <row r="163">
      <c r="A163" s="16" t="n"/>
      <c r="B163" s="21" t="n"/>
      <c r="C163" s="16" t="n"/>
      <c r="D163" s="16" t="n"/>
      <c r="E163" s="21" t="n"/>
      <c r="F163" s="21" t="n"/>
      <c r="G163" s="16" t="n"/>
      <c r="H163" s="21" t="n"/>
      <c r="I163" s="23" t="n"/>
      <c r="J163" s="31" t="n"/>
      <c r="K163" s="23" t="n"/>
      <c r="L163" s="31" t="n"/>
      <c r="M163" s="21" t="n"/>
      <c r="N163" s="21" t="n"/>
      <c r="O163" s="28">
        <f>IF(A163="","",IF(SUMPRODUCT((Plans!$A$3:$A$300=A163)*(Plans!$B$3:$B$300=B163)*(Plans!$C$3:$C$300=C163))=0,"PLAN INCONNU","ok"))</f>
        <v/>
      </c>
    </row>
    <row r="164">
      <c r="A164" s="16" t="n"/>
      <c r="B164" s="21" t="n"/>
      <c r="C164" s="16" t="n"/>
      <c r="D164" s="16" t="n"/>
      <c r="E164" s="21" t="n"/>
      <c r="F164" s="21" t="n"/>
      <c r="G164" s="16" t="n"/>
      <c r="H164" s="21" t="n"/>
      <c r="I164" s="23" t="n"/>
      <c r="J164" s="31" t="n"/>
      <c r="K164" s="23" t="n"/>
      <c r="L164" s="31" t="n"/>
      <c r="M164" s="21" t="n"/>
      <c r="N164" s="21" t="n"/>
      <c r="O164" s="28">
        <f>IF(A164="","",IF(SUMPRODUCT((Plans!$A$3:$A$300=A164)*(Plans!$B$3:$B$300=B164)*(Plans!$C$3:$C$300=C164))=0,"PLAN INCONNU","ok"))</f>
        <v/>
      </c>
    </row>
    <row r="165">
      <c r="A165" s="16" t="n"/>
      <c r="B165" s="21" t="n"/>
      <c r="C165" s="16" t="n"/>
      <c r="D165" s="16" t="n"/>
      <c r="E165" s="21" t="n"/>
      <c r="F165" s="21" t="n"/>
      <c r="G165" s="16" t="n"/>
      <c r="H165" s="21" t="n"/>
      <c r="I165" s="23" t="n"/>
      <c r="J165" s="31" t="n"/>
      <c r="K165" s="23" t="n"/>
      <c r="L165" s="31" t="n"/>
      <c r="M165" s="21" t="n"/>
      <c r="N165" s="21" t="n"/>
      <c r="O165" s="28">
        <f>IF(A165="","",IF(SUMPRODUCT((Plans!$A$3:$A$300=A165)*(Plans!$B$3:$B$300=B165)*(Plans!$C$3:$C$300=C165))=0,"PLAN INCONNU","ok"))</f>
        <v/>
      </c>
    </row>
    <row r="166">
      <c r="A166" s="16" t="n"/>
      <c r="B166" s="21" t="n"/>
      <c r="C166" s="16" t="n"/>
      <c r="D166" s="16" t="n"/>
      <c r="E166" s="21" t="n"/>
      <c r="F166" s="21" t="n"/>
      <c r="G166" s="16" t="n"/>
      <c r="H166" s="21" t="n"/>
      <c r="I166" s="23" t="n"/>
      <c r="J166" s="31" t="n"/>
      <c r="K166" s="23" t="n"/>
      <c r="L166" s="31" t="n"/>
      <c r="M166" s="21" t="n"/>
      <c r="N166" s="21" t="n"/>
      <c r="O166" s="28">
        <f>IF(A166="","",IF(SUMPRODUCT((Plans!$A$3:$A$300=A166)*(Plans!$B$3:$B$300=B166)*(Plans!$C$3:$C$300=C166))=0,"PLAN INCONNU","ok"))</f>
        <v/>
      </c>
    </row>
    <row r="167">
      <c r="A167" s="16" t="n"/>
      <c r="B167" s="21" t="n"/>
      <c r="C167" s="16" t="n"/>
      <c r="D167" s="16" t="n"/>
      <c r="E167" s="21" t="n"/>
      <c r="F167" s="21" t="n"/>
      <c r="G167" s="16" t="n"/>
      <c r="H167" s="21" t="n"/>
      <c r="I167" s="23" t="n"/>
      <c r="J167" s="31" t="n"/>
      <c r="K167" s="23" t="n"/>
      <c r="L167" s="31" t="n"/>
      <c r="M167" s="21" t="n"/>
      <c r="N167" s="21" t="n"/>
      <c r="O167" s="28">
        <f>IF(A167="","",IF(SUMPRODUCT((Plans!$A$3:$A$300=A167)*(Plans!$B$3:$B$300=B167)*(Plans!$C$3:$C$300=C167))=0,"PLAN INCONNU","ok"))</f>
        <v/>
      </c>
    </row>
    <row r="168">
      <c r="A168" s="16" t="n"/>
      <c r="B168" s="21" t="n"/>
      <c r="C168" s="16" t="n"/>
      <c r="D168" s="16" t="n"/>
      <c r="E168" s="21" t="n"/>
      <c r="F168" s="21" t="n"/>
      <c r="G168" s="16" t="n"/>
      <c r="H168" s="21" t="n"/>
      <c r="I168" s="23" t="n"/>
      <c r="J168" s="31" t="n"/>
      <c r="K168" s="23" t="n"/>
      <c r="L168" s="31" t="n"/>
      <c r="M168" s="21" t="n"/>
      <c r="N168" s="21" t="n"/>
      <c r="O168" s="28">
        <f>IF(A168="","",IF(SUMPRODUCT((Plans!$A$3:$A$300=A168)*(Plans!$B$3:$B$300=B168)*(Plans!$C$3:$C$300=C168))=0,"PLAN INCONNU","ok"))</f>
        <v/>
      </c>
    </row>
    <row r="169">
      <c r="A169" s="16" t="n"/>
      <c r="B169" s="21" t="n"/>
      <c r="C169" s="16" t="n"/>
      <c r="D169" s="16" t="n"/>
      <c r="E169" s="21" t="n"/>
      <c r="F169" s="21" t="n"/>
      <c r="G169" s="16" t="n"/>
      <c r="H169" s="21" t="n"/>
      <c r="I169" s="23" t="n"/>
      <c r="J169" s="31" t="n"/>
      <c r="K169" s="23" t="n"/>
      <c r="L169" s="31" t="n"/>
      <c r="M169" s="21" t="n"/>
      <c r="N169" s="21" t="n"/>
      <c r="O169" s="28">
        <f>IF(A169="","",IF(SUMPRODUCT((Plans!$A$3:$A$300=A169)*(Plans!$B$3:$B$300=B169)*(Plans!$C$3:$C$300=C169))=0,"PLAN INCONNU","ok"))</f>
        <v/>
      </c>
    </row>
    <row r="170">
      <c r="A170" s="16" t="n"/>
      <c r="B170" s="21" t="n"/>
      <c r="C170" s="16" t="n"/>
      <c r="D170" s="16" t="n"/>
      <c r="E170" s="21" t="n"/>
      <c r="F170" s="21" t="n"/>
      <c r="G170" s="16" t="n"/>
      <c r="H170" s="21" t="n"/>
      <c r="I170" s="23" t="n"/>
      <c r="J170" s="31" t="n"/>
      <c r="K170" s="23" t="n"/>
      <c r="L170" s="31" t="n"/>
      <c r="M170" s="21" t="n"/>
      <c r="N170" s="21" t="n"/>
      <c r="O170" s="28">
        <f>IF(A170="","",IF(SUMPRODUCT((Plans!$A$3:$A$300=A170)*(Plans!$B$3:$B$300=B170)*(Plans!$C$3:$C$300=C170))=0,"PLAN INCONNU","ok"))</f>
        <v/>
      </c>
    </row>
    <row r="171">
      <c r="A171" s="16" t="n"/>
      <c r="B171" s="21" t="n"/>
      <c r="C171" s="16" t="n"/>
      <c r="D171" s="16" t="n"/>
      <c r="E171" s="21" t="n"/>
      <c r="F171" s="21" t="n"/>
      <c r="G171" s="16" t="n"/>
      <c r="H171" s="21" t="n"/>
      <c r="I171" s="23" t="n"/>
      <c r="J171" s="31" t="n"/>
      <c r="K171" s="23" t="n"/>
      <c r="L171" s="31" t="n"/>
      <c r="M171" s="21" t="n"/>
      <c r="N171" s="21" t="n"/>
      <c r="O171" s="28">
        <f>IF(A171="","",IF(SUMPRODUCT((Plans!$A$3:$A$300=A171)*(Plans!$B$3:$B$300=B171)*(Plans!$C$3:$C$300=C171))=0,"PLAN INCONNU","ok"))</f>
        <v/>
      </c>
    </row>
    <row r="172">
      <c r="A172" s="16" t="n"/>
      <c r="B172" s="21" t="n"/>
      <c r="C172" s="16" t="n"/>
      <c r="D172" s="16" t="n"/>
      <c r="E172" s="21" t="n"/>
      <c r="F172" s="21" t="n"/>
      <c r="G172" s="16" t="n"/>
      <c r="H172" s="21" t="n"/>
      <c r="I172" s="23" t="n"/>
      <c r="J172" s="31" t="n"/>
      <c r="K172" s="23" t="n"/>
      <c r="L172" s="31" t="n"/>
      <c r="M172" s="21" t="n"/>
      <c r="N172" s="21" t="n"/>
      <c r="O172" s="28">
        <f>IF(A172="","",IF(SUMPRODUCT((Plans!$A$3:$A$300=A172)*(Plans!$B$3:$B$300=B172)*(Plans!$C$3:$C$300=C172))=0,"PLAN INCONNU","ok"))</f>
        <v/>
      </c>
    </row>
    <row r="173">
      <c r="A173" s="16" t="n"/>
      <c r="B173" s="21" t="n"/>
      <c r="C173" s="16" t="n"/>
      <c r="D173" s="16" t="n"/>
      <c r="E173" s="21" t="n"/>
      <c r="F173" s="21" t="n"/>
      <c r="G173" s="16" t="n"/>
      <c r="H173" s="21" t="n"/>
      <c r="I173" s="23" t="n"/>
      <c r="J173" s="31" t="n"/>
      <c r="K173" s="23" t="n"/>
      <c r="L173" s="31" t="n"/>
      <c r="M173" s="21" t="n"/>
      <c r="N173" s="21" t="n"/>
      <c r="O173" s="28">
        <f>IF(A173="","",IF(SUMPRODUCT((Plans!$A$3:$A$300=A173)*(Plans!$B$3:$B$300=B173)*(Plans!$C$3:$C$300=C173))=0,"PLAN INCONNU","ok"))</f>
        <v/>
      </c>
    </row>
    <row r="174">
      <c r="A174" s="16" t="n"/>
      <c r="B174" s="21" t="n"/>
      <c r="C174" s="16" t="n"/>
      <c r="D174" s="16" t="n"/>
      <c r="E174" s="21" t="n"/>
      <c r="F174" s="21" t="n"/>
      <c r="G174" s="16" t="n"/>
      <c r="H174" s="21" t="n"/>
      <c r="I174" s="23" t="n"/>
      <c r="J174" s="31" t="n"/>
      <c r="K174" s="23" t="n"/>
      <c r="L174" s="31" t="n"/>
      <c r="M174" s="21" t="n"/>
      <c r="N174" s="21" t="n"/>
      <c r="O174" s="28">
        <f>IF(A174="","",IF(SUMPRODUCT((Plans!$A$3:$A$300=A174)*(Plans!$B$3:$B$300=B174)*(Plans!$C$3:$C$300=C174))=0,"PLAN INCONNU","ok"))</f>
        <v/>
      </c>
    </row>
    <row r="175">
      <c r="A175" s="16" t="n"/>
      <c r="B175" s="21" t="n"/>
      <c r="C175" s="16" t="n"/>
      <c r="D175" s="16" t="n"/>
      <c r="E175" s="21" t="n"/>
      <c r="F175" s="21" t="n"/>
      <c r="G175" s="16" t="n"/>
      <c r="H175" s="21" t="n"/>
      <c r="I175" s="23" t="n"/>
      <c r="J175" s="31" t="n"/>
      <c r="K175" s="23" t="n"/>
      <c r="L175" s="31" t="n"/>
      <c r="M175" s="21" t="n"/>
      <c r="N175" s="21" t="n"/>
      <c r="O175" s="28">
        <f>IF(A175="","",IF(SUMPRODUCT((Plans!$A$3:$A$300=A175)*(Plans!$B$3:$B$300=B175)*(Plans!$C$3:$C$300=C175))=0,"PLAN INCONNU","ok"))</f>
        <v/>
      </c>
    </row>
    <row r="176">
      <c r="A176" s="16" t="n"/>
      <c r="B176" s="21" t="n"/>
      <c r="C176" s="16" t="n"/>
      <c r="D176" s="16" t="n"/>
      <c r="E176" s="21" t="n"/>
      <c r="F176" s="21" t="n"/>
      <c r="G176" s="16" t="n"/>
      <c r="H176" s="21" t="n"/>
      <c r="I176" s="23" t="n"/>
      <c r="J176" s="31" t="n"/>
      <c r="K176" s="23" t="n"/>
      <c r="L176" s="31" t="n"/>
      <c r="M176" s="21" t="n"/>
      <c r="N176" s="21" t="n"/>
      <c r="O176" s="28">
        <f>IF(A176="","",IF(SUMPRODUCT((Plans!$A$3:$A$300=A176)*(Plans!$B$3:$B$300=B176)*(Plans!$C$3:$C$300=C176))=0,"PLAN INCONNU","ok"))</f>
        <v/>
      </c>
    </row>
    <row r="177">
      <c r="A177" s="16" t="n"/>
      <c r="B177" s="21" t="n"/>
      <c r="C177" s="16" t="n"/>
      <c r="D177" s="16" t="n"/>
      <c r="E177" s="21" t="n"/>
      <c r="F177" s="21" t="n"/>
      <c r="G177" s="16" t="n"/>
      <c r="H177" s="21" t="n"/>
      <c r="I177" s="23" t="n"/>
      <c r="J177" s="31" t="n"/>
      <c r="K177" s="23" t="n"/>
      <c r="L177" s="31" t="n"/>
      <c r="M177" s="21" t="n"/>
      <c r="N177" s="21" t="n"/>
      <c r="O177" s="28">
        <f>IF(A177="","",IF(SUMPRODUCT((Plans!$A$3:$A$300=A177)*(Plans!$B$3:$B$300=B177)*(Plans!$C$3:$C$300=C177))=0,"PLAN INCONNU","ok"))</f>
        <v/>
      </c>
    </row>
    <row r="178">
      <c r="A178" s="16" t="n"/>
      <c r="B178" s="21" t="n"/>
      <c r="C178" s="16" t="n"/>
      <c r="D178" s="16" t="n"/>
      <c r="E178" s="21" t="n"/>
      <c r="F178" s="21" t="n"/>
      <c r="G178" s="16" t="n"/>
      <c r="H178" s="21" t="n"/>
      <c r="I178" s="23" t="n"/>
      <c r="J178" s="31" t="n"/>
      <c r="K178" s="23" t="n"/>
      <c r="L178" s="31" t="n"/>
      <c r="M178" s="21" t="n"/>
      <c r="N178" s="21" t="n"/>
      <c r="O178" s="28">
        <f>IF(A178="","",IF(SUMPRODUCT((Plans!$A$3:$A$300=A178)*(Plans!$B$3:$B$300=B178)*(Plans!$C$3:$C$300=C178))=0,"PLAN INCONNU","ok"))</f>
        <v/>
      </c>
    </row>
    <row r="179">
      <c r="A179" s="16" t="n"/>
      <c r="B179" s="21" t="n"/>
      <c r="C179" s="16" t="n"/>
      <c r="D179" s="16" t="n"/>
      <c r="E179" s="21" t="n"/>
      <c r="F179" s="21" t="n"/>
      <c r="G179" s="16" t="n"/>
      <c r="H179" s="21" t="n"/>
      <c r="I179" s="23" t="n"/>
      <c r="J179" s="31" t="n"/>
      <c r="K179" s="23" t="n"/>
      <c r="L179" s="31" t="n"/>
      <c r="M179" s="21" t="n"/>
      <c r="N179" s="21" t="n"/>
      <c r="O179" s="28">
        <f>IF(A179="","",IF(SUMPRODUCT((Plans!$A$3:$A$300=A179)*(Plans!$B$3:$B$300=B179)*(Plans!$C$3:$C$300=C179))=0,"PLAN INCONNU","ok"))</f>
        <v/>
      </c>
    </row>
    <row r="180">
      <c r="A180" s="16" t="n"/>
      <c r="B180" s="21" t="n"/>
      <c r="C180" s="16" t="n"/>
      <c r="D180" s="16" t="n"/>
      <c r="E180" s="21" t="n"/>
      <c r="F180" s="21" t="n"/>
      <c r="G180" s="16" t="n"/>
      <c r="H180" s="21" t="n"/>
      <c r="I180" s="23" t="n"/>
      <c r="J180" s="31" t="n"/>
      <c r="K180" s="23" t="n"/>
      <c r="L180" s="31" t="n"/>
      <c r="M180" s="21" t="n"/>
      <c r="N180" s="21" t="n"/>
      <c r="O180" s="28">
        <f>IF(A180="","",IF(SUMPRODUCT((Plans!$A$3:$A$300=A180)*(Plans!$B$3:$B$300=B180)*(Plans!$C$3:$C$300=C180))=0,"PLAN INCONNU","ok"))</f>
        <v/>
      </c>
    </row>
    <row r="181">
      <c r="A181" s="16" t="n"/>
      <c r="B181" s="21" t="n"/>
      <c r="C181" s="16" t="n"/>
      <c r="D181" s="16" t="n"/>
      <c r="E181" s="21" t="n"/>
      <c r="F181" s="21" t="n"/>
      <c r="G181" s="16" t="n"/>
      <c r="H181" s="21" t="n"/>
      <c r="I181" s="23" t="n"/>
      <c r="J181" s="31" t="n"/>
      <c r="K181" s="23" t="n"/>
      <c r="L181" s="31" t="n"/>
      <c r="M181" s="21" t="n"/>
      <c r="N181" s="21" t="n"/>
      <c r="O181" s="28">
        <f>IF(A181="","",IF(SUMPRODUCT((Plans!$A$3:$A$300=A181)*(Plans!$B$3:$B$300=B181)*(Plans!$C$3:$C$300=C181))=0,"PLAN INCONNU","ok"))</f>
        <v/>
      </c>
    </row>
    <row r="182">
      <c r="A182" s="16" t="n"/>
      <c r="B182" s="21" t="n"/>
      <c r="C182" s="16" t="n"/>
      <c r="D182" s="16" t="n"/>
      <c r="E182" s="21" t="n"/>
      <c r="F182" s="21" t="n"/>
      <c r="G182" s="16" t="n"/>
      <c r="H182" s="21" t="n"/>
      <c r="I182" s="23" t="n"/>
      <c r="J182" s="31" t="n"/>
      <c r="K182" s="23" t="n"/>
      <c r="L182" s="31" t="n"/>
      <c r="M182" s="21" t="n"/>
      <c r="N182" s="21" t="n"/>
      <c r="O182" s="28">
        <f>IF(A182="","",IF(SUMPRODUCT((Plans!$A$3:$A$300=A182)*(Plans!$B$3:$B$300=B182)*(Plans!$C$3:$C$300=C182))=0,"PLAN INCONNU","ok"))</f>
        <v/>
      </c>
    </row>
    <row r="183">
      <c r="A183" s="16" t="n"/>
      <c r="B183" s="21" t="n"/>
      <c r="C183" s="16" t="n"/>
      <c r="D183" s="16" t="n"/>
      <c r="E183" s="21" t="n"/>
      <c r="F183" s="21" t="n"/>
      <c r="G183" s="16" t="n"/>
      <c r="H183" s="21" t="n"/>
      <c r="I183" s="23" t="n"/>
      <c r="J183" s="31" t="n"/>
      <c r="K183" s="23" t="n"/>
      <c r="L183" s="31" t="n"/>
      <c r="M183" s="21" t="n"/>
      <c r="N183" s="21" t="n"/>
      <c r="O183" s="28">
        <f>IF(A183="","",IF(SUMPRODUCT((Plans!$A$3:$A$300=A183)*(Plans!$B$3:$B$300=B183)*(Plans!$C$3:$C$300=C183))=0,"PLAN INCONNU","ok"))</f>
        <v/>
      </c>
    </row>
    <row r="184">
      <c r="A184" s="16" t="n"/>
      <c r="B184" s="21" t="n"/>
      <c r="C184" s="16" t="n"/>
      <c r="D184" s="16" t="n"/>
      <c r="E184" s="21" t="n"/>
      <c r="F184" s="21" t="n"/>
      <c r="G184" s="16" t="n"/>
      <c r="H184" s="21" t="n"/>
      <c r="I184" s="23" t="n"/>
      <c r="J184" s="31" t="n"/>
      <c r="K184" s="23" t="n"/>
      <c r="L184" s="31" t="n"/>
      <c r="M184" s="21" t="n"/>
      <c r="N184" s="21" t="n"/>
      <c r="O184" s="28">
        <f>IF(A184="","",IF(SUMPRODUCT((Plans!$A$3:$A$300=A184)*(Plans!$B$3:$B$300=B184)*(Plans!$C$3:$C$300=C184))=0,"PLAN INCONNU","ok"))</f>
        <v/>
      </c>
    </row>
    <row r="185">
      <c r="A185" s="16" t="n"/>
      <c r="B185" s="21" t="n"/>
      <c r="C185" s="16" t="n"/>
      <c r="D185" s="16" t="n"/>
      <c r="E185" s="21" t="n"/>
      <c r="F185" s="21" t="n"/>
      <c r="G185" s="16" t="n"/>
      <c r="H185" s="21" t="n"/>
      <c r="I185" s="23" t="n"/>
      <c r="J185" s="31" t="n"/>
      <c r="K185" s="23" t="n"/>
      <c r="L185" s="31" t="n"/>
      <c r="M185" s="21" t="n"/>
      <c r="N185" s="21" t="n"/>
      <c r="O185" s="28">
        <f>IF(A185="","",IF(SUMPRODUCT((Plans!$A$3:$A$300=A185)*(Plans!$B$3:$B$300=B185)*(Plans!$C$3:$C$300=C185))=0,"PLAN INCONNU","ok"))</f>
        <v/>
      </c>
    </row>
    <row r="186">
      <c r="A186" s="16" t="n"/>
      <c r="B186" s="21" t="n"/>
      <c r="C186" s="16" t="n"/>
      <c r="D186" s="16" t="n"/>
      <c r="E186" s="21" t="n"/>
      <c r="F186" s="21" t="n"/>
      <c r="G186" s="16" t="n"/>
      <c r="H186" s="21" t="n"/>
      <c r="I186" s="23" t="n"/>
      <c r="J186" s="31" t="n"/>
      <c r="K186" s="23" t="n"/>
      <c r="L186" s="31" t="n"/>
      <c r="M186" s="21" t="n"/>
      <c r="N186" s="21" t="n"/>
      <c r="O186" s="28">
        <f>IF(A186="","",IF(SUMPRODUCT((Plans!$A$3:$A$300=A186)*(Plans!$B$3:$B$300=B186)*(Plans!$C$3:$C$300=C186))=0,"PLAN INCONNU","ok"))</f>
        <v/>
      </c>
    </row>
    <row r="187">
      <c r="A187" s="16" t="n"/>
      <c r="B187" s="21" t="n"/>
      <c r="C187" s="16" t="n"/>
      <c r="D187" s="16" t="n"/>
      <c r="E187" s="21" t="n"/>
      <c r="F187" s="21" t="n"/>
      <c r="G187" s="16" t="n"/>
      <c r="H187" s="21" t="n"/>
      <c r="I187" s="23" t="n"/>
      <c r="J187" s="31" t="n"/>
      <c r="K187" s="23" t="n"/>
      <c r="L187" s="31" t="n"/>
      <c r="M187" s="21" t="n"/>
      <c r="N187" s="21" t="n"/>
      <c r="O187" s="28">
        <f>IF(A187="","",IF(SUMPRODUCT((Plans!$A$3:$A$300=A187)*(Plans!$B$3:$B$300=B187)*(Plans!$C$3:$C$300=C187))=0,"PLAN INCONNU","ok"))</f>
        <v/>
      </c>
    </row>
    <row r="188">
      <c r="A188" s="16" t="n"/>
      <c r="B188" s="21" t="n"/>
      <c r="C188" s="16" t="n"/>
      <c r="D188" s="16" t="n"/>
      <c r="E188" s="21" t="n"/>
      <c r="F188" s="21" t="n"/>
      <c r="G188" s="16" t="n"/>
      <c r="H188" s="21" t="n"/>
      <c r="I188" s="23" t="n"/>
      <c r="J188" s="31" t="n"/>
      <c r="K188" s="23" t="n"/>
      <c r="L188" s="31" t="n"/>
      <c r="M188" s="21" t="n"/>
      <c r="N188" s="21" t="n"/>
      <c r="O188" s="28">
        <f>IF(A188="","",IF(SUMPRODUCT((Plans!$A$3:$A$300=A188)*(Plans!$B$3:$B$300=B188)*(Plans!$C$3:$C$300=C188))=0,"PLAN INCONNU","ok"))</f>
        <v/>
      </c>
    </row>
    <row r="189">
      <c r="A189" s="16" t="n"/>
      <c r="B189" s="21" t="n"/>
      <c r="C189" s="16" t="n"/>
      <c r="D189" s="16" t="n"/>
      <c r="E189" s="21" t="n"/>
      <c r="F189" s="21" t="n"/>
      <c r="G189" s="16" t="n"/>
      <c r="H189" s="21" t="n"/>
      <c r="I189" s="23" t="n"/>
      <c r="J189" s="31" t="n"/>
      <c r="K189" s="23" t="n"/>
      <c r="L189" s="31" t="n"/>
      <c r="M189" s="21" t="n"/>
      <c r="N189" s="21" t="n"/>
      <c r="O189" s="28">
        <f>IF(A189="","",IF(SUMPRODUCT((Plans!$A$3:$A$300=A189)*(Plans!$B$3:$B$300=B189)*(Plans!$C$3:$C$300=C189))=0,"PLAN INCONNU","ok"))</f>
        <v/>
      </c>
    </row>
    <row r="190">
      <c r="A190" s="16" t="n"/>
      <c r="B190" s="21" t="n"/>
      <c r="C190" s="16" t="n"/>
      <c r="D190" s="16" t="n"/>
      <c r="E190" s="21" t="n"/>
      <c r="F190" s="21" t="n"/>
      <c r="G190" s="16" t="n"/>
      <c r="H190" s="21" t="n"/>
      <c r="I190" s="23" t="n"/>
      <c r="J190" s="31" t="n"/>
      <c r="K190" s="23" t="n"/>
      <c r="L190" s="31" t="n"/>
      <c r="M190" s="21" t="n"/>
      <c r="N190" s="21" t="n"/>
      <c r="O190" s="28">
        <f>IF(A190="","",IF(SUMPRODUCT((Plans!$A$3:$A$300=A190)*(Plans!$B$3:$B$300=B190)*(Plans!$C$3:$C$300=C190))=0,"PLAN INCONNU","ok"))</f>
        <v/>
      </c>
    </row>
    <row r="191">
      <c r="A191" s="16" t="n"/>
      <c r="B191" s="21" t="n"/>
      <c r="C191" s="16" t="n"/>
      <c r="D191" s="16" t="n"/>
      <c r="E191" s="21" t="n"/>
      <c r="F191" s="21" t="n"/>
      <c r="G191" s="16" t="n"/>
      <c r="H191" s="21" t="n"/>
      <c r="I191" s="23" t="n"/>
      <c r="J191" s="31" t="n"/>
      <c r="K191" s="23" t="n"/>
      <c r="L191" s="31" t="n"/>
      <c r="M191" s="21" t="n"/>
      <c r="N191" s="21" t="n"/>
      <c r="O191" s="28">
        <f>IF(A191="","",IF(SUMPRODUCT((Plans!$A$3:$A$300=A191)*(Plans!$B$3:$B$300=B191)*(Plans!$C$3:$C$300=C191))=0,"PLAN INCONNU","ok"))</f>
        <v/>
      </c>
    </row>
    <row r="192">
      <c r="A192" s="16" t="n"/>
      <c r="B192" s="21" t="n"/>
      <c r="C192" s="16" t="n"/>
      <c r="D192" s="16" t="n"/>
      <c r="E192" s="21" t="n"/>
      <c r="F192" s="21" t="n"/>
      <c r="G192" s="16" t="n"/>
      <c r="H192" s="21" t="n"/>
      <c r="I192" s="23" t="n"/>
      <c r="J192" s="31" t="n"/>
      <c r="K192" s="23" t="n"/>
      <c r="L192" s="31" t="n"/>
      <c r="M192" s="21" t="n"/>
      <c r="N192" s="21" t="n"/>
      <c r="O192" s="28">
        <f>IF(A192="","",IF(SUMPRODUCT((Plans!$A$3:$A$300=A192)*(Plans!$B$3:$B$300=B192)*(Plans!$C$3:$C$300=C192))=0,"PLAN INCONNU","ok"))</f>
        <v/>
      </c>
    </row>
    <row r="193">
      <c r="A193" s="16" t="n"/>
      <c r="B193" s="21" t="n"/>
      <c r="C193" s="16" t="n"/>
      <c r="D193" s="16" t="n"/>
      <c r="E193" s="21" t="n"/>
      <c r="F193" s="21" t="n"/>
      <c r="G193" s="16" t="n"/>
      <c r="H193" s="21" t="n"/>
      <c r="I193" s="23" t="n"/>
      <c r="J193" s="31" t="n"/>
      <c r="K193" s="23" t="n"/>
      <c r="L193" s="31" t="n"/>
      <c r="M193" s="21" t="n"/>
      <c r="N193" s="21" t="n"/>
      <c r="O193" s="28">
        <f>IF(A193="","",IF(SUMPRODUCT((Plans!$A$3:$A$300=A193)*(Plans!$B$3:$B$300=B193)*(Plans!$C$3:$C$300=C193))=0,"PLAN INCONNU","ok"))</f>
        <v/>
      </c>
    </row>
    <row r="194">
      <c r="A194" s="16" t="n"/>
      <c r="B194" s="21" t="n"/>
      <c r="C194" s="16" t="n"/>
      <c r="D194" s="16" t="n"/>
      <c r="E194" s="21" t="n"/>
      <c r="F194" s="21" t="n"/>
      <c r="G194" s="16" t="n"/>
      <c r="H194" s="21" t="n"/>
      <c r="I194" s="23" t="n"/>
      <c r="J194" s="31" t="n"/>
      <c r="K194" s="23" t="n"/>
      <c r="L194" s="31" t="n"/>
      <c r="M194" s="21" t="n"/>
      <c r="N194" s="21" t="n"/>
      <c r="O194" s="28">
        <f>IF(A194="","",IF(SUMPRODUCT((Plans!$A$3:$A$300=A194)*(Plans!$B$3:$B$300=B194)*(Plans!$C$3:$C$300=C194))=0,"PLAN INCONNU","ok"))</f>
        <v/>
      </c>
    </row>
    <row r="195">
      <c r="A195" s="16" t="n"/>
      <c r="B195" s="21" t="n"/>
      <c r="C195" s="16" t="n"/>
      <c r="D195" s="16" t="n"/>
      <c r="E195" s="21" t="n"/>
      <c r="F195" s="21" t="n"/>
      <c r="G195" s="16" t="n"/>
      <c r="H195" s="21" t="n"/>
      <c r="I195" s="23" t="n"/>
      <c r="J195" s="31" t="n"/>
      <c r="K195" s="23" t="n"/>
      <c r="L195" s="31" t="n"/>
      <c r="M195" s="21" t="n"/>
      <c r="N195" s="21" t="n"/>
      <c r="O195" s="28">
        <f>IF(A195="","",IF(SUMPRODUCT((Plans!$A$3:$A$300=A195)*(Plans!$B$3:$B$300=B195)*(Plans!$C$3:$C$300=C195))=0,"PLAN INCONNU","ok"))</f>
        <v/>
      </c>
    </row>
    <row r="196">
      <c r="A196" s="16" t="n"/>
      <c r="B196" s="21" t="n"/>
      <c r="C196" s="16" t="n"/>
      <c r="D196" s="16" t="n"/>
      <c r="E196" s="21" t="n"/>
      <c r="F196" s="21" t="n"/>
      <c r="G196" s="16" t="n"/>
      <c r="H196" s="21" t="n"/>
      <c r="I196" s="23" t="n"/>
      <c r="J196" s="31" t="n"/>
      <c r="K196" s="23" t="n"/>
      <c r="L196" s="31" t="n"/>
      <c r="M196" s="21" t="n"/>
      <c r="N196" s="21" t="n"/>
      <c r="O196" s="28">
        <f>IF(A196="","",IF(SUMPRODUCT((Plans!$A$3:$A$300=A196)*(Plans!$B$3:$B$300=B196)*(Plans!$C$3:$C$300=C196))=0,"PLAN INCONNU","ok"))</f>
        <v/>
      </c>
    </row>
    <row r="197">
      <c r="A197" s="16" t="n"/>
      <c r="B197" s="21" t="n"/>
      <c r="C197" s="16" t="n"/>
      <c r="D197" s="16" t="n"/>
      <c r="E197" s="21" t="n"/>
      <c r="F197" s="21" t="n"/>
      <c r="G197" s="16" t="n"/>
      <c r="H197" s="21" t="n"/>
      <c r="I197" s="23" t="n"/>
      <c r="J197" s="31" t="n"/>
      <c r="K197" s="23" t="n"/>
      <c r="L197" s="31" t="n"/>
      <c r="M197" s="21" t="n"/>
      <c r="N197" s="21" t="n"/>
      <c r="O197" s="28">
        <f>IF(A197="","",IF(SUMPRODUCT((Plans!$A$3:$A$300=A197)*(Plans!$B$3:$B$300=B197)*(Plans!$C$3:$C$300=C197))=0,"PLAN INCONNU","ok"))</f>
        <v/>
      </c>
    </row>
    <row r="198">
      <c r="A198" s="16" t="n"/>
      <c r="B198" s="21" t="n"/>
      <c r="C198" s="16" t="n"/>
      <c r="D198" s="16" t="n"/>
      <c r="E198" s="21" t="n"/>
      <c r="F198" s="21" t="n"/>
      <c r="G198" s="16" t="n"/>
      <c r="H198" s="21" t="n"/>
      <c r="I198" s="23" t="n"/>
      <c r="J198" s="31" t="n"/>
      <c r="K198" s="23" t="n"/>
      <c r="L198" s="31" t="n"/>
      <c r="M198" s="21" t="n"/>
      <c r="N198" s="21" t="n"/>
      <c r="O198" s="28">
        <f>IF(A198="","",IF(SUMPRODUCT((Plans!$A$3:$A$300=A198)*(Plans!$B$3:$B$300=B198)*(Plans!$C$3:$C$300=C198))=0,"PLAN INCONNU","ok"))</f>
        <v/>
      </c>
    </row>
    <row r="199">
      <c r="A199" s="16" t="n"/>
      <c r="B199" s="21" t="n"/>
      <c r="C199" s="16" t="n"/>
      <c r="D199" s="16" t="n"/>
      <c r="E199" s="21" t="n"/>
      <c r="F199" s="21" t="n"/>
      <c r="G199" s="16" t="n"/>
      <c r="H199" s="21" t="n"/>
      <c r="I199" s="23" t="n"/>
      <c r="J199" s="31" t="n"/>
      <c r="K199" s="23" t="n"/>
      <c r="L199" s="31" t="n"/>
      <c r="M199" s="21" t="n"/>
      <c r="N199" s="21" t="n"/>
      <c r="O199" s="28">
        <f>IF(A199="","",IF(SUMPRODUCT((Plans!$A$3:$A$300=A199)*(Plans!$B$3:$B$300=B199)*(Plans!$C$3:$C$300=C199))=0,"PLAN INCONNU","ok"))</f>
        <v/>
      </c>
    </row>
    <row r="200">
      <c r="A200" s="16" t="n"/>
      <c r="B200" s="21" t="n"/>
      <c r="C200" s="16" t="n"/>
      <c r="D200" s="16" t="n"/>
      <c r="E200" s="21" t="n"/>
      <c r="F200" s="21" t="n"/>
      <c r="G200" s="16" t="n"/>
      <c r="H200" s="21" t="n"/>
      <c r="I200" s="23" t="n"/>
      <c r="J200" s="31" t="n"/>
      <c r="K200" s="23" t="n"/>
      <c r="L200" s="31" t="n"/>
      <c r="M200" s="21" t="n"/>
      <c r="N200" s="21" t="n"/>
      <c r="O200" s="28">
        <f>IF(A200="","",IF(SUMPRODUCT((Plans!$A$3:$A$300=A200)*(Plans!$B$3:$B$300=B200)*(Plans!$C$3:$C$300=C200))=0,"PLAN INCONNU","ok"))</f>
        <v/>
      </c>
    </row>
    <row r="201">
      <c r="A201" s="16" t="n"/>
      <c r="B201" s="21" t="n"/>
      <c r="C201" s="16" t="n"/>
      <c r="D201" s="16" t="n"/>
      <c r="E201" s="21" t="n"/>
      <c r="F201" s="21" t="n"/>
      <c r="G201" s="16" t="n"/>
      <c r="H201" s="21" t="n"/>
      <c r="I201" s="23" t="n"/>
      <c r="J201" s="31" t="n"/>
      <c r="K201" s="23" t="n"/>
      <c r="L201" s="31" t="n"/>
      <c r="M201" s="21" t="n"/>
      <c r="N201" s="21" t="n"/>
      <c r="O201" s="28">
        <f>IF(A201="","",IF(SUMPRODUCT((Plans!$A$3:$A$300=A201)*(Plans!$B$3:$B$300=B201)*(Plans!$C$3:$C$300=C201))=0,"PLAN INCONNU","ok"))</f>
        <v/>
      </c>
    </row>
    <row r="202">
      <c r="A202" s="16" t="n"/>
      <c r="B202" s="21" t="n"/>
      <c r="C202" s="16" t="n"/>
      <c r="D202" s="16" t="n"/>
      <c r="E202" s="21" t="n"/>
      <c r="F202" s="21" t="n"/>
      <c r="G202" s="16" t="n"/>
      <c r="H202" s="21" t="n"/>
      <c r="I202" s="23" t="n"/>
      <c r="J202" s="31" t="n"/>
      <c r="K202" s="23" t="n"/>
      <c r="L202" s="31" t="n"/>
      <c r="M202" s="21" t="n"/>
      <c r="N202" s="21" t="n"/>
      <c r="O202" s="28">
        <f>IF(A202="","",IF(SUMPRODUCT((Plans!$A$3:$A$300=A202)*(Plans!$B$3:$B$300=B202)*(Plans!$C$3:$C$300=C202))=0,"PLAN INCONNU","ok"))</f>
        <v/>
      </c>
    </row>
    <row r="203">
      <c r="A203" s="16" t="n"/>
      <c r="B203" s="21" t="n"/>
      <c r="C203" s="16" t="n"/>
      <c r="D203" s="16" t="n"/>
      <c r="E203" s="21" t="n"/>
      <c r="F203" s="21" t="n"/>
      <c r="G203" s="16" t="n"/>
      <c r="H203" s="21" t="n"/>
      <c r="I203" s="23" t="n"/>
      <c r="J203" s="31" t="n"/>
      <c r="K203" s="23" t="n"/>
      <c r="L203" s="31" t="n"/>
      <c r="M203" s="21" t="n"/>
      <c r="N203" s="21" t="n"/>
      <c r="O203" s="28">
        <f>IF(A203="","",IF(SUMPRODUCT((Plans!$A$3:$A$300=A203)*(Plans!$B$3:$B$300=B203)*(Plans!$C$3:$C$300=C203))=0,"PLAN INCONNU","ok"))</f>
        <v/>
      </c>
    </row>
    <row r="204">
      <c r="A204" s="16" t="n"/>
      <c r="B204" s="21" t="n"/>
      <c r="C204" s="16" t="n"/>
      <c r="D204" s="16" t="n"/>
      <c r="E204" s="21" t="n"/>
      <c r="F204" s="21" t="n"/>
      <c r="G204" s="16" t="n"/>
      <c r="H204" s="21" t="n"/>
      <c r="I204" s="23" t="n"/>
      <c r="J204" s="31" t="n"/>
      <c r="K204" s="23" t="n"/>
      <c r="L204" s="31" t="n"/>
      <c r="M204" s="21" t="n"/>
      <c r="N204" s="21" t="n"/>
      <c r="O204" s="28">
        <f>IF(A204="","",IF(SUMPRODUCT((Plans!$A$3:$A$300=A204)*(Plans!$B$3:$B$300=B204)*(Plans!$C$3:$C$300=C204))=0,"PLAN INCONNU","ok"))</f>
        <v/>
      </c>
    </row>
    <row r="205">
      <c r="A205" s="16" t="n"/>
      <c r="B205" s="21" t="n"/>
      <c r="C205" s="16" t="n"/>
      <c r="D205" s="16" t="n"/>
      <c r="E205" s="21" t="n"/>
      <c r="F205" s="21" t="n"/>
      <c r="G205" s="16" t="n"/>
      <c r="H205" s="21" t="n"/>
      <c r="I205" s="23" t="n"/>
      <c r="J205" s="31" t="n"/>
      <c r="K205" s="23" t="n"/>
      <c r="L205" s="31" t="n"/>
      <c r="M205" s="21" t="n"/>
      <c r="N205" s="21" t="n"/>
      <c r="O205" s="28">
        <f>IF(A205="","",IF(SUMPRODUCT((Plans!$A$3:$A$300=A205)*(Plans!$B$3:$B$300=B205)*(Plans!$C$3:$C$300=C205))=0,"PLAN INCONNU","ok"))</f>
        <v/>
      </c>
    </row>
    <row r="206">
      <c r="A206" s="16" t="n"/>
      <c r="B206" s="21" t="n"/>
      <c r="C206" s="16" t="n"/>
      <c r="D206" s="16" t="n"/>
      <c r="E206" s="21" t="n"/>
      <c r="F206" s="21" t="n"/>
      <c r="G206" s="16" t="n"/>
      <c r="H206" s="21" t="n"/>
      <c r="I206" s="23" t="n"/>
      <c r="J206" s="31" t="n"/>
      <c r="K206" s="23" t="n"/>
      <c r="L206" s="31" t="n"/>
      <c r="M206" s="21" t="n"/>
      <c r="N206" s="21" t="n"/>
      <c r="O206" s="28">
        <f>IF(A206="","",IF(SUMPRODUCT((Plans!$A$3:$A$300=A206)*(Plans!$B$3:$B$300=B206)*(Plans!$C$3:$C$300=C206))=0,"PLAN INCONNU","ok"))</f>
        <v/>
      </c>
    </row>
    <row r="207">
      <c r="A207" s="16" t="n"/>
      <c r="B207" s="21" t="n"/>
      <c r="C207" s="16" t="n"/>
      <c r="D207" s="16" t="n"/>
      <c r="E207" s="21" t="n"/>
      <c r="F207" s="21" t="n"/>
      <c r="G207" s="16" t="n"/>
      <c r="H207" s="21" t="n"/>
      <c r="I207" s="23" t="n"/>
      <c r="J207" s="31" t="n"/>
      <c r="K207" s="23" t="n"/>
      <c r="L207" s="31" t="n"/>
      <c r="M207" s="21" t="n"/>
      <c r="N207" s="21" t="n"/>
      <c r="O207" s="28">
        <f>IF(A207="","",IF(SUMPRODUCT((Plans!$A$3:$A$300=A207)*(Plans!$B$3:$B$300=B207)*(Plans!$C$3:$C$300=C207))=0,"PLAN INCONNU","ok"))</f>
        <v/>
      </c>
    </row>
    <row r="208">
      <c r="A208" s="16" t="n"/>
      <c r="B208" s="21" t="n"/>
      <c r="C208" s="16" t="n"/>
      <c r="D208" s="16" t="n"/>
      <c r="E208" s="21" t="n"/>
      <c r="F208" s="21" t="n"/>
      <c r="G208" s="16" t="n"/>
      <c r="H208" s="21" t="n"/>
      <c r="I208" s="23" t="n"/>
      <c r="J208" s="31" t="n"/>
      <c r="K208" s="23" t="n"/>
      <c r="L208" s="31" t="n"/>
      <c r="M208" s="21" t="n"/>
      <c r="N208" s="21" t="n"/>
      <c r="O208" s="28">
        <f>IF(A208="","",IF(SUMPRODUCT((Plans!$A$3:$A$300=A208)*(Plans!$B$3:$B$300=B208)*(Plans!$C$3:$C$300=C208))=0,"PLAN INCONNU","ok"))</f>
        <v/>
      </c>
    </row>
    <row r="209">
      <c r="A209" s="16" t="n"/>
      <c r="B209" s="21" t="n"/>
      <c r="C209" s="16" t="n"/>
      <c r="D209" s="16" t="n"/>
      <c r="E209" s="21" t="n"/>
      <c r="F209" s="21" t="n"/>
      <c r="G209" s="16" t="n"/>
      <c r="H209" s="21" t="n"/>
      <c r="I209" s="23" t="n"/>
      <c r="J209" s="31" t="n"/>
      <c r="K209" s="23" t="n"/>
      <c r="L209" s="31" t="n"/>
      <c r="M209" s="21" t="n"/>
      <c r="N209" s="21" t="n"/>
      <c r="O209" s="28">
        <f>IF(A209="","",IF(SUMPRODUCT((Plans!$A$3:$A$300=A209)*(Plans!$B$3:$B$300=B209)*(Plans!$C$3:$C$300=C209))=0,"PLAN INCONNU","ok"))</f>
        <v/>
      </c>
    </row>
    <row r="210">
      <c r="A210" s="16" t="n"/>
      <c r="B210" s="21" t="n"/>
      <c r="C210" s="16" t="n"/>
      <c r="D210" s="16" t="n"/>
      <c r="E210" s="21" t="n"/>
      <c r="F210" s="21" t="n"/>
      <c r="G210" s="16" t="n"/>
      <c r="H210" s="21" t="n"/>
      <c r="I210" s="23" t="n"/>
      <c r="J210" s="31" t="n"/>
      <c r="K210" s="23" t="n"/>
      <c r="L210" s="31" t="n"/>
      <c r="M210" s="21" t="n"/>
      <c r="N210" s="21" t="n"/>
      <c r="O210" s="28">
        <f>IF(A210="","",IF(SUMPRODUCT((Plans!$A$3:$A$300=A210)*(Plans!$B$3:$B$300=B210)*(Plans!$C$3:$C$300=C210))=0,"PLAN INCONNU","ok"))</f>
        <v/>
      </c>
    </row>
    <row r="211">
      <c r="A211" s="16" t="n"/>
      <c r="B211" s="21" t="n"/>
      <c r="C211" s="16" t="n"/>
      <c r="D211" s="16" t="n"/>
      <c r="E211" s="21" t="n"/>
      <c r="F211" s="21" t="n"/>
      <c r="G211" s="16" t="n"/>
      <c r="H211" s="21" t="n"/>
      <c r="I211" s="23" t="n"/>
      <c r="J211" s="31" t="n"/>
      <c r="K211" s="23" t="n"/>
      <c r="L211" s="31" t="n"/>
      <c r="M211" s="21" t="n"/>
      <c r="N211" s="21" t="n"/>
      <c r="O211" s="28">
        <f>IF(A211="","",IF(SUMPRODUCT((Plans!$A$3:$A$300=A211)*(Plans!$B$3:$B$300=B211)*(Plans!$C$3:$C$300=C211))=0,"PLAN INCONNU","ok"))</f>
        <v/>
      </c>
    </row>
    <row r="212">
      <c r="A212" s="16" t="n"/>
      <c r="B212" s="21" t="n"/>
      <c r="C212" s="16" t="n"/>
      <c r="D212" s="16" t="n"/>
      <c r="E212" s="21" t="n"/>
      <c r="F212" s="21" t="n"/>
      <c r="G212" s="16" t="n"/>
      <c r="H212" s="21" t="n"/>
      <c r="I212" s="23" t="n"/>
      <c r="J212" s="31" t="n"/>
      <c r="K212" s="23" t="n"/>
      <c r="L212" s="31" t="n"/>
      <c r="M212" s="21" t="n"/>
      <c r="N212" s="21" t="n"/>
      <c r="O212" s="28">
        <f>IF(A212="","",IF(SUMPRODUCT((Plans!$A$3:$A$300=A212)*(Plans!$B$3:$B$300=B212)*(Plans!$C$3:$C$300=C212))=0,"PLAN INCONNU","ok"))</f>
        <v/>
      </c>
    </row>
    <row r="213">
      <c r="A213" s="16" t="n"/>
      <c r="B213" s="21" t="n"/>
      <c r="C213" s="16" t="n"/>
      <c r="D213" s="16" t="n"/>
      <c r="E213" s="21" t="n"/>
      <c r="F213" s="21" t="n"/>
      <c r="G213" s="16" t="n"/>
      <c r="H213" s="21" t="n"/>
      <c r="I213" s="23" t="n"/>
      <c r="J213" s="31" t="n"/>
      <c r="K213" s="23" t="n"/>
      <c r="L213" s="31" t="n"/>
      <c r="M213" s="21" t="n"/>
      <c r="N213" s="21" t="n"/>
      <c r="O213" s="28">
        <f>IF(A213="","",IF(SUMPRODUCT((Plans!$A$3:$A$300=A213)*(Plans!$B$3:$B$300=B213)*(Plans!$C$3:$C$300=C213))=0,"PLAN INCONNU","ok"))</f>
        <v/>
      </c>
    </row>
    <row r="214">
      <c r="A214" s="16" t="n"/>
      <c r="B214" s="21" t="n"/>
      <c r="C214" s="16" t="n"/>
      <c r="D214" s="16" t="n"/>
      <c r="E214" s="21" t="n"/>
      <c r="F214" s="21" t="n"/>
      <c r="G214" s="16" t="n"/>
      <c r="H214" s="21" t="n"/>
      <c r="I214" s="23" t="n"/>
      <c r="J214" s="31" t="n"/>
      <c r="K214" s="23" t="n"/>
      <c r="L214" s="31" t="n"/>
      <c r="M214" s="21" t="n"/>
      <c r="N214" s="21" t="n"/>
      <c r="O214" s="28">
        <f>IF(A214="","",IF(SUMPRODUCT((Plans!$A$3:$A$300=A214)*(Plans!$B$3:$B$300=B214)*(Plans!$C$3:$C$300=C214))=0,"PLAN INCONNU","ok"))</f>
        <v/>
      </c>
    </row>
    <row r="215">
      <c r="A215" s="16" t="n"/>
      <c r="B215" s="21" t="n"/>
      <c r="C215" s="16" t="n"/>
      <c r="D215" s="16" t="n"/>
      <c r="E215" s="21" t="n"/>
      <c r="F215" s="21" t="n"/>
      <c r="G215" s="16" t="n"/>
      <c r="H215" s="21" t="n"/>
      <c r="I215" s="23" t="n"/>
      <c r="J215" s="31" t="n"/>
      <c r="K215" s="23" t="n"/>
      <c r="L215" s="31" t="n"/>
      <c r="M215" s="21" t="n"/>
      <c r="N215" s="21" t="n"/>
      <c r="O215" s="28">
        <f>IF(A215="","",IF(SUMPRODUCT((Plans!$A$3:$A$300=A215)*(Plans!$B$3:$B$300=B215)*(Plans!$C$3:$C$300=C215))=0,"PLAN INCONNU","ok"))</f>
        <v/>
      </c>
    </row>
    <row r="216">
      <c r="A216" s="16" t="n"/>
      <c r="B216" s="21" t="n"/>
      <c r="C216" s="16" t="n"/>
      <c r="D216" s="16" t="n"/>
      <c r="E216" s="21" t="n"/>
      <c r="F216" s="21" t="n"/>
      <c r="G216" s="16" t="n"/>
      <c r="H216" s="21" t="n"/>
      <c r="I216" s="23" t="n"/>
      <c r="J216" s="31" t="n"/>
      <c r="K216" s="23" t="n"/>
      <c r="L216" s="31" t="n"/>
      <c r="M216" s="21" t="n"/>
      <c r="N216" s="21" t="n"/>
      <c r="O216" s="28">
        <f>IF(A216="","",IF(SUMPRODUCT((Plans!$A$3:$A$300=A216)*(Plans!$B$3:$B$300=B216)*(Plans!$C$3:$C$300=C216))=0,"PLAN INCONNU","ok"))</f>
        <v/>
      </c>
    </row>
    <row r="217">
      <c r="A217" s="16" t="n"/>
      <c r="B217" s="21" t="n"/>
      <c r="C217" s="16" t="n"/>
      <c r="D217" s="16" t="n"/>
      <c r="E217" s="21" t="n"/>
      <c r="F217" s="21" t="n"/>
      <c r="G217" s="16" t="n"/>
      <c r="H217" s="21" t="n"/>
      <c r="I217" s="23" t="n"/>
      <c r="J217" s="31" t="n"/>
      <c r="K217" s="23" t="n"/>
      <c r="L217" s="31" t="n"/>
      <c r="M217" s="21" t="n"/>
      <c r="N217" s="21" t="n"/>
      <c r="O217" s="28">
        <f>IF(A217="","",IF(SUMPRODUCT((Plans!$A$3:$A$300=A217)*(Plans!$B$3:$B$300=B217)*(Plans!$C$3:$C$300=C217))=0,"PLAN INCONNU","ok"))</f>
        <v/>
      </c>
    </row>
    <row r="218">
      <c r="A218" s="16" t="n"/>
      <c r="B218" s="21" t="n"/>
      <c r="C218" s="16" t="n"/>
      <c r="D218" s="16" t="n"/>
      <c r="E218" s="21" t="n"/>
      <c r="F218" s="21" t="n"/>
      <c r="G218" s="16" t="n"/>
      <c r="H218" s="21" t="n"/>
      <c r="I218" s="23" t="n"/>
      <c r="J218" s="31" t="n"/>
      <c r="K218" s="23" t="n"/>
      <c r="L218" s="31" t="n"/>
      <c r="M218" s="21" t="n"/>
      <c r="N218" s="21" t="n"/>
      <c r="O218" s="28">
        <f>IF(A218="","",IF(SUMPRODUCT((Plans!$A$3:$A$300=A218)*(Plans!$B$3:$B$300=B218)*(Plans!$C$3:$C$300=C218))=0,"PLAN INCONNU","ok"))</f>
        <v/>
      </c>
    </row>
    <row r="219">
      <c r="A219" s="16" t="n"/>
      <c r="B219" s="21" t="n"/>
      <c r="C219" s="16" t="n"/>
      <c r="D219" s="16" t="n"/>
      <c r="E219" s="21" t="n"/>
      <c r="F219" s="21" t="n"/>
      <c r="G219" s="16" t="n"/>
      <c r="H219" s="21" t="n"/>
      <c r="I219" s="23" t="n"/>
      <c r="J219" s="31" t="n"/>
      <c r="K219" s="23" t="n"/>
      <c r="L219" s="31" t="n"/>
      <c r="M219" s="21" t="n"/>
      <c r="N219" s="21" t="n"/>
      <c r="O219" s="28">
        <f>IF(A219="","",IF(SUMPRODUCT((Plans!$A$3:$A$300=A219)*(Plans!$B$3:$B$300=B219)*(Plans!$C$3:$C$300=C219))=0,"PLAN INCONNU","ok"))</f>
        <v/>
      </c>
    </row>
    <row r="220">
      <c r="A220" s="16" t="n"/>
      <c r="B220" s="21" t="n"/>
      <c r="C220" s="16" t="n"/>
      <c r="D220" s="16" t="n"/>
      <c r="E220" s="21" t="n"/>
      <c r="F220" s="21" t="n"/>
      <c r="G220" s="16" t="n"/>
      <c r="H220" s="21" t="n"/>
      <c r="I220" s="23" t="n"/>
      <c r="J220" s="31" t="n"/>
      <c r="K220" s="23" t="n"/>
      <c r="L220" s="31" t="n"/>
      <c r="M220" s="21" t="n"/>
      <c r="N220" s="21" t="n"/>
      <c r="O220" s="28">
        <f>IF(A220="","",IF(SUMPRODUCT((Plans!$A$3:$A$300=A220)*(Plans!$B$3:$B$300=B220)*(Plans!$C$3:$C$300=C220))=0,"PLAN INCONNU","ok"))</f>
        <v/>
      </c>
    </row>
    <row r="221">
      <c r="A221" s="16" t="n"/>
      <c r="B221" s="21" t="n"/>
      <c r="C221" s="16" t="n"/>
      <c r="D221" s="16" t="n"/>
      <c r="E221" s="21" t="n"/>
      <c r="F221" s="21" t="n"/>
      <c r="G221" s="16" t="n"/>
      <c r="H221" s="21" t="n"/>
      <c r="I221" s="23" t="n"/>
      <c r="J221" s="31" t="n"/>
      <c r="K221" s="23" t="n"/>
      <c r="L221" s="31" t="n"/>
      <c r="M221" s="21" t="n"/>
      <c r="N221" s="21" t="n"/>
      <c r="O221" s="28">
        <f>IF(A221="","",IF(SUMPRODUCT((Plans!$A$3:$A$300=A221)*(Plans!$B$3:$B$300=B221)*(Plans!$C$3:$C$300=C221))=0,"PLAN INCONNU","ok"))</f>
        <v/>
      </c>
    </row>
    <row r="222">
      <c r="A222" s="16" t="n"/>
      <c r="B222" s="21" t="n"/>
      <c r="C222" s="16" t="n"/>
      <c r="D222" s="16" t="n"/>
      <c r="E222" s="21" t="n"/>
      <c r="F222" s="21" t="n"/>
      <c r="G222" s="16" t="n"/>
      <c r="H222" s="21" t="n"/>
      <c r="I222" s="23" t="n"/>
      <c r="J222" s="31" t="n"/>
      <c r="K222" s="23" t="n"/>
      <c r="L222" s="31" t="n"/>
      <c r="M222" s="21" t="n"/>
      <c r="N222" s="21" t="n"/>
      <c r="O222" s="28">
        <f>IF(A222="","",IF(SUMPRODUCT((Plans!$A$3:$A$300=A222)*(Plans!$B$3:$B$300=B222)*(Plans!$C$3:$C$300=C222))=0,"PLAN INCONNU","ok"))</f>
        <v/>
      </c>
    </row>
    <row r="223">
      <c r="A223" s="16" t="n"/>
      <c r="B223" s="21" t="n"/>
      <c r="C223" s="16" t="n"/>
      <c r="D223" s="16" t="n"/>
      <c r="E223" s="21" t="n"/>
      <c r="F223" s="21" t="n"/>
      <c r="G223" s="16" t="n"/>
      <c r="H223" s="21" t="n"/>
      <c r="I223" s="23" t="n"/>
      <c r="J223" s="31" t="n"/>
      <c r="K223" s="23" t="n"/>
      <c r="L223" s="31" t="n"/>
      <c r="M223" s="21" t="n"/>
      <c r="N223" s="21" t="n"/>
      <c r="O223" s="28">
        <f>IF(A223="","",IF(SUMPRODUCT((Plans!$A$3:$A$300=A223)*(Plans!$B$3:$B$300=B223)*(Plans!$C$3:$C$300=C223))=0,"PLAN INCONNU","ok"))</f>
        <v/>
      </c>
    </row>
    <row r="224">
      <c r="A224" s="16" t="n"/>
      <c r="B224" s="21" t="n"/>
      <c r="C224" s="16" t="n"/>
      <c r="D224" s="16" t="n"/>
      <c r="E224" s="21" t="n"/>
      <c r="F224" s="21" t="n"/>
      <c r="G224" s="16" t="n"/>
      <c r="H224" s="21" t="n"/>
      <c r="I224" s="23" t="n"/>
      <c r="J224" s="31" t="n"/>
      <c r="K224" s="23" t="n"/>
      <c r="L224" s="31" t="n"/>
      <c r="M224" s="21" t="n"/>
      <c r="N224" s="21" t="n"/>
      <c r="O224" s="28">
        <f>IF(A224="","",IF(SUMPRODUCT((Plans!$A$3:$A$300=A224)*(Plans!$B$3:$B$300=B224)*(Plans!$C$3:$C$300=C224))=0,"PLAN INCONNU","ok"))</f>
        <v/>
      </c>
    </row>
    <row r="225">
      <c r="A225" s="16" t="n"/>
      <c r="B225" s="21" t="n"/>
      <c r="C225" s="16" t="n"/>
      <c r="D225" s="16" t="n"/>
      <c r="E225" s="21" t="n"/>
      <c r="F225" s="21" t="n"/>
      <c r="G225" s="16" t="n"/>
      <c r="H225" s="21" t="n"/>
      <c r="I225" s="23" t="n"/>
      <c r="J225" s="31" t="n"/>
      <c r="K225" s="23" t="n"/>
      <c r="L225" s="31" t="n"/>
      <c r="M225" s="21" t="n"/>
      <c r="N225" s="21" t="n"/>
      <c r="O225" s="28">
        <f>IF(A225="","",IF(SUMPRODUCT((Plans!$A$3:$A$300=A225)*(Plans!$B$3:$B$300=B225)*(Plans!$C$3:$C$300=C225))=0,"PLAN INCONNU","ok"))</f>
        <v/>
      </c>
    </row>
    <row r="226">
      <c r="A226" s="16" t="n"/>
      <c r="B226" s="21" t="n"/>
      <c r="C226" s="16" t="n"/>
      <c r="D226" s="16" t="n"/>
      <c r="E226" s="21" t="n"/>
      <c r="F226" s="21" t="n"/>
      <c r="G226" s="16" t="n"/>
      <c r="H226" s="21" t="n"/>
      <c r="I226" s="23" t="n"/>
      <c r="J226" s="31" t="n"/>
      <c r="K226" s="23" t="n"/>
      <c r="L226" s="31" t="n"/>
      <c r="M226" s="21" t="n"/>
      <c r="N226" s="21" t="n"/>
      <c r="O226" s="28">
        <f>IF(A226="","",IF(SUMPRODUCT((Plans!$A$3:$A$300=A226)*(Plans!$B$3:$B$300=B226)*(Plans!$C$3:$C$300=C226))=0,"PLAN INCONNU","ok"))</f>
        <v/>
      </c>
    </row>
    <row r="227">
      <c r="A227" s="16" t="n"/>
      <c r="B227" s="21" t="n"/>
      <c r="C227" s="16" t="n"/>
      <c r="D227" s="16" t="n"/>
      <c r="E227" s="21" t="n"/>
      <c r="F227" s="21" t="n"/>
      <c r="G227" s="16" t="n"/>
      <c r="H227" s="21" t="n"/>
      <c r="I227" s="23" t="n"/>
      <c r="J227" s="31" t="n"/>
      <c r="K227" s="23" t="n"/>
      <c r="L227" s="31" t="n"/>
      <c r="M227" s="21" t="n"/>
      <c r="N227" s="21" t="n"/>
      <c r="O227" s="28">
        <f>IF(A227="","",IF(SUMPRODUCT((Plans!$A$3:$A$300=A227)*(Plans!$B$3:$B$300=B227)*(Plans!$C$3:$C$300=C227))=0,"PLAN INCONNU","ok"))</f>
        <v/>
      </c>
    </row>
    <row r="228">
      <c r="A228" s="16" t="n"/>
      <c r="B228" s="21" t="n"/>
      <c r="C228" s="16" t="n"/>
      <c r="D228" s="16" t="n"/>
      <c r="E228" s="21" t="n"/>
      <c r="F228" s="21" t="n"/>
      <c r="G228" s="16" t="n"/>
      <c r="H228" s="21" t="n"/>
      <c r="I228" s="23" t="n"/>
      <c r="J228" s="31" t="n"/>
      <c r="K228" s="23" t="n"/>
      <c r="L228" s="31" t="n"/>
      <c r="M228" s="21" t="n"/>
      <c r="N228" s="21" t="n"/>
      <c r="O228" s="28">
        <f>IF(A228="","",IF(SUMPRODUCT((Plans!$A$3:$A$300=A228)*(Plans!$B$3:$B$300=B228)*(Plans!$C$3:$C$300=C228))=0,"PLAN INCONNU","ok"))</f>
        <v/>
      </c>
    </row>
    <row r="229">
      <c r="A229" s="16" t="n"/>
      <c r="B229" s="21" t="n"/>
      <c r="C229" s="16" t="n"/>
      <c r="D229" s="16" t="n"/>
      <c r="E229" s="21" t="n"/>
      <c r="F229" s="21" t="n"/>
      <c r="G229" s="16" t="n"/>
      <c r="H229" s="21" t="n"/>
      <c r="I229" s="23" t="n"/>
      <c r="J229" s="31" t="n"/>
      <c r="K229" s="23" t="n"/>
      <c r="L229" s="31" t="n"/>
      <c r="M229" s="21" t="n"/>
      <c r="N229" s="21" t="n"/>
      <c r="O229" s="28">
        <f>IF(A229="","",IF(SUMPRODUCT((Plans!$A$3:$A$300=A229)*(Plans!$B$3:$B$300=B229)*(Plans!$C$3:$C$300=C229))=0,"PLAN INCONNU","ok"))</f>
        <v/>
      </c>
    </row>
    <row r="230">
      <c r="A230" s="16" t="n"/>
      <c r="B230" s="21" t="n"/>
      <c r="C230" s="16" t="n"/>
      <c r="D230" s="16" t="n"/>
      <c r="E230" s="21" t="n"/>
      <c r="F230" s="21" t="n"/>
      <c r="G230" s="16" t="n"/>
      <c r="H230" s="21" t="n"/>
      <c r="I230" s="23" t="n"/>
      <c r="J230" s="31" t="n"/>
      <c r="K230" s="23" t="n"/>
      <c r="L230" s="31" t="n"/>
      <c r="M230" s="21" t="n"/>
      <c r="N230" s="21" t="n"/>
      <c r="O230" s="28">
        <f>IF(A230="","",IF(SUMPRODUCT((Plans!$A$3:$A$300=A230)*(Plans!$B$3:$B$300=B230)*(Plans!$C$3:$C$300=C230))=0,"PLAN INCONNU","ok"))</f>
        <v/>
      </c>
    </row>
    <row r="231">
      <c r="A231" s="16" t="n"/>
      <c r="B231" s="21" t="n"/>
      <c r="C231" s="16" t="n"/>
      <c r="D231" s="16" t="n"/>
      <c r="E231" s="21" t="n"/>
      <c r="F231" s="21" t="n"/>
      <c r="G231" s="16" t="n"/>
      <c r="H231" s="21" t="n"/>
      <c r="I231" s="23" t="n"/>
      <c r="J231" s="31" t="n"/>
      <c r="K231" s="23" t="n"/>
      <c r="L231" s="31" t="n"/>
      <c r="M231" s="21" t="n"/>
      <c r="N231" s="21" t="n"/>
      <c r="O231" s="28">
        <f>IF(A231="","",IF(SUMPRODUCT((Plans!$A$3:$A$300=A231)*(Plans!$B$3:$B$300=B231)*(Plans!$C$3:$C$300=C231))=0,"PLAN INCONNU","ok"))</f>
        <v/>
      </c>
    </row>
    <row r="232">
      <c r="A232" s="16" t="n"/>
      <c r="B232" s="21" t="n"/>
      <c r="C232" s="16" t="n"/>
      <c r="D232" s="16" t="n"/>
      <c r="E232" s="21" t="n"/>
      <c r="F232" s="21" t="n"/>
      <c r="G232" s="16" t="n"/>
      <c r="H232" s="21" t="n"/>
      <c r="I232" s="23" t="n"/>
      <c r="J232" s="31" t="n"/>
      <c r="K232" s="23" t="n"/>
      <c r="L232" s="31" t="n"/>
      <c r="M232" s="21" t="n"/>
      <c r="N232" s="21" t="n"/>
      <c r="O232" s="28">
        <f>IF(A232="","",IF(SUMPRODUCT((Plans!$A$3:$A$300=A232)*(Plans!$B$3:$B$300=B232)*(Plans!$C$3:$C$300=C232))=0,"PLAN INCONNU","ok"))</f>
        <v/>
      </c>
    </row>
    <row r="233">
      <c r="A233" s="16" t="n"/>
      <c r="B233" s="21" t="n"/>
      <c r="C233" s="16" t="n"/>
      <c r="D233" s="16" t="n"/>
      <c r="E233" s="21" t="n"/>
      <c r="F233" s="21" t="n"/>
      <c r="G233" s="16" t="n"/>
      <c r="H233" s="21" t="n"/>
      <c r="I233" s="23" t="n"/>
      <c r="J233" s="31" t="n"/>
      <c r="K233" s="23" t="n"/>
      <c r="L233" s="31" t="n"/>
      <c r="M233" s="21" t="n"/>
      <c r="N233" s="21" t="n"/>
      <c r="O233" s="28">
        <f>IF(A233="","",IF(SUMPRODUCT((Plans!$A$3:$A$300=A233)*(Plans!$B$3:$B$300=B233)*(Plans!$C$3:$C$300=C233))=0,"PLAN INCONNU","ok"))</f>
        <v/>
      </c>
    </row>
    <row r="234">
      <c r="A234" s="16" t="n"/>
      <c r="B234" s="21" t="n"/>
      <c r="C234" s="16" t="n"/>
      <c r="D234" s="16" t="n"/>
      <c r="E234" s="21" t="n"/>
      <c r="F234" s="21" t="n"/>
      <c r="G234" s="16" t="n"/>
      <c r="H234" s="21" t="n"/>
      <c r="I234" s="23" t="n"/>
      <c r="J234" s="31" t="n"/>
      <c r="K234" s="23" t="n"/>
      <c r="L234" s="31" t="n"/>
      <c r="M234" s="21" t="n"/>
      <c r="N234" s="21" t="n"/>
      <c r="O234" s="28">
        <f>IF(A234="","",IF(SUMPRODUCT((Plans!$A$3:$A$300=A234)*(Plans!$B$3:$B$300=B234)*(Plans!$C$3:$C$300=C234))=0,"PLAN INCONNU","ok"))</f>
        <v/>
      </c>
    </row>
    <row r="235">
      <c r="A235" s="16" t="n"/>
      <c r="B235" s="21" t="n"/>
      <c r="C235" s="16" t="n"/>
      <c r="D235" s="16" t="n"/>
      <c r="E235" s="21" t="n"/>
      <c r="F235" s="21" t="n"/>
      <c r="G235" s="16" t="n"/>
      <c r="H235" s="21" t="n"/>
      <c r="I235" s="23" t="n"/>
      <c r="J235" s="31" t="n"/>
      <c r="K235" s="23" t="n"/>
      <c r="L235" s="31" t="n"/>
      <c r="M235" s="21" t="n"/>
      <c r="N235" s="21" t="n"/>
      <c r="O235" s="28">
        <f>IF(A235="","",IF(SUMPRODUCT((Plans!$A$3:$A$300=A235)*(Plans!$B$3:$B$300=B235)*(Plans!$C$3:$C$300=C235))=0,"PLAN INCONNU","ok"))</f>
        <v/>
      </c>
    </row>
    <row r="236">
      <c r="A236" s="16" t="n"/>
      <c r="B236" s="21" t="n"/>
      <c r="C236" s="16" t="n"/>
      <c r="D236" s="16" t="n"/>
      <c r="E236" s="21" t="n"/>
      <c r="F236" s="21" t="n"/>
      <c r="G236" s="16" t="n"/>
      <c r="H236" s="21" t="n"/>
      <c r="I236" s="23" t="n"/>
      <c r="J236" s="31" t="n"/>
      <c r="K236" s="23" t="n"/>
      <c r="L236" s="31" t="n"/>
      <c r="M236" s="21" t="n"/>
      <c r="N236" s="21" t="n"/>
      <c r="O236" s="28">
        <f>IF(A236="","",IF(SUMPRODUCT((Plans!$A$3:$A$300=A236)*(Plans!$B$3:$B$300=B236)*(Plans!$C$3:$C$300=C236))=0,"PLAN INCONNU","ok"))</f>
        <v/>
      </c>
    </row>
    <row r="237">
      <c r="A237" s="16" t="n"/>
      <c r="B237" s="21" t="n"/>
      <c r="C237" s="16" t="n"/>
      <c r="D237" s="16" t="n"/>
      <c r="E237" s="21" t="n"/>
      <c r="F237" s="21" t="n"/>
      <c r="G237" s="16" t="n"/>
      <c r="H237" s="21" t="n"/>
      <c r="I237" s="23" t="n"/>
      <c r="J237" s="31" t="n"/>
      <c r="K237" s="23" t="n"/>
      <c r="L237" s="31" t="n"/>
      <c r="M237" s="21" t="n"/>
      <c r="N237" s="21" t="n"/>
      <c r="O237" s="28">
        <f>IF(A237="","",IF(SUMPRODUCT((Plans!$A$3:$A$300=A237)*(Plans!$B$3:$B$300=B237)*(Plans!$C$3:$C$300=C237))=0,"PLAN INCONNU","ok"))</f>
        <v/>
      </c>
    </row>
    <row r="238">
      <c r="A238" s="16" t="n"/>
      <c r="B238" s="21" t="n"/>
      <c r="C238" s="16" t="n"/>
      <c r="D238" s="16" t="n"/>
      <c r="E238" s="21" t="n"/>
      <c r="F238" s="21" t="n"/>
      <c r="G238" s="16" t="n"/>
      <c r="H238" s="21" t="n"/>
      <c r="I238" s="23" t="n"/>
      <c r="J238" s="31" t="n"/>
      <c r="K238" s="23" t="n"/>
      <c r="L238" s="31" t="n"/>
      <c r="M238" s="21" t="n"/>
      <c r="N238" s="21" t="n"/>
      <c r="O238" s="28">
        <f>IF(A238="","",IF(SUMPRODUCT((Plans!$A$3:$A$300=A238)*(Plans!$B$3:$B$300=B238)*(Plans!$C$3:$C$300=C238))=0,"PLAN INCONNU","ok"))</f>
        <v/>
      </c>
    </row>
    <row r="239">
      <c r="A239" s="16" t="n"/>
      <c r="B239" s="21" t="n"/>
      <c r="C239" s="16" t="n"/>
      <c r="D239" s="16" t="n"/>
      <c r="E239" s="21" t="n"/>
      <c r="F239" s="21" t="n"/>
      <c r="G239" s="16" t="n"/>
      <c r="H239" s="21" t="n"/>
      <c r="I239" s="23" t="n"/>
      <c r="J239" s="31" t="n"/>
      <c r="K239" s="23" t="n"/>
      <c r="L239" s="31" t="n"/>
      <c r="M239" s="21" t="n"/>
      <c r="N239" s="21" t="n"/>
      <c r="O239" s="28">
        <f>IF(A239="","",IF(SUMPRODUCT((Plans!$A$3:$A$300=A239)*(Plans!$B$3:$B$300=B239)*(Plans!$C$3:$C$300=C239))=0,"PLAN INCONNU","ok"))</f>
        <v/>
      </c>
    </row>
    <row r="240">
      <c r="A240" s="16" t="n"/>
      <c r="B240" s="21" t="n"/>
      <c r="C240" s="16" t="n"/>
      <c r="D240" s="16" t="n"/>
      <c r="E240" s="21" t="n"/>
      <c r="F240" s="21" t="n"/>
      <c r="G240" s="16" t="n"/>
      <c r="H240" s="21" t="n"/>
      <c r="I240" s="23" t="n"/>
      <c r="J240" s="31" t="n"/>
      <c r="K240" s="23" t="n"/>
      <c r="L240" s="31" t="n"/>
      <c r="M240" s="21" t="n"/>
      <c r="N240" s="21" t="n"/>
      <c r="O240" s="28">
        <f>IF(A240="","",IF(SUMPRODUCT((Plans!$A$3:$A$300=A240)*(Plans!$B$3:$B$300=B240)*(Plans!$C$3:$C$300=C240))=0,"PLAN INCONNU","ok"))</f>
        <v/>
      </c>
    </row>
    <row r="241">
      <c r="A241" s="16" t="n"/>
      <c r="B241" s="21" t="n"/>
      <c r="C241" s="16" t="n"/>
      <c r="D241" s="16" t="n"/>
      <c r="E241" s="21" t="n"/>
      <c r="F241" s="21" t="n"/>
      <c r="G241" s="16" t="n"/>
      <c r="H241" s="21" t="n"/>
      <c r="I241" s="23" t="n"/>
      <c r="J241" s="31" t="n"/>
      <c r="K241" s="23" t="n"/>
      <c r="L241" s="31" t="n"/>
      <c r="M241" s="21" t="n"/>
      <c r="N241" s="21" t="n"/>
      <c r="O241" s="28">
        <f>IF(A241="","",IF(SUMPRODUCT((Plans!$A$3:$A$300=A241)*(Plans!$B$3:$B$300=B241)*(Plans!$C$3:$C$300=C241))=0,"PLAN INCONNU","ok"))</f>
        <v/>
      </c>
    </row>
    <row r="242">
      <c r="A242" s="16" t="n"/>
      <c r="B242" s="21" t="n"/>
      <c r="C242" s="16" t="n"/>
      <c r="D242" s="16" t="n"/>
      <c r="E242" s="21" t="n"/>
      <c r="F242" s="21" t="n"/>
      <c r="G242" s="16" t="n"/>
      <c r="H242" s="21" t="n"/>
      <c r="I242" s="23" t="n"/>
      <c r="J242" s="31" t="n"/>
      <c r="K242" s="23" t="n"/>
      <c r="L242" s="31" t="n"/>
      <c r="M242" s="21" t="n"/>
      <c r="N242" s="21" t="n"/>
      <c r="O242" s="28">
        <f>IF(A242="","",IF(SUMPRODUCT((Plans!$A$3:$A$300=A242)*(Plans!$B$3:$B$300=B242)*(Plans!$C$3:$C$300=C242))=0,"PLAN INCONNU","ok"))</f>
        <v/>
      </c>
    </row>
    <row r="243">
      <c r="A243" s="16" t="n"/>
      <c r="B243" s="21" t="n"/>
      <c r="C243" s="16" t="n"/>
      <c r="D243" s="16" t="n"/>
      <c r="E243" s="21" t="n"/>
      <c r="F243" s="21" t="n"/>
      <c r="G243" s="16" t="n"/>
      <c r="H243" s="21" t="n"/>
      <c r="I243" s="23" t="n"/>
      <c r="J243" s="31" t="n"/>
      <c r="K243" s="23" t="n"/>
      <c r="L243" s="31" t="n"/>
      <c r="M243" s="21" t="n"/>
      <c r="N243" s="21" t="n"/>
      <c r="O243" s="28">
        <f>IF(A243="","",IF(SUMPRODUCT((Plans!$A$3:$A$300=A243)*(Plans!$B$3:$B$300=B243)*(Plans!$C$3:$C$300=C243))=0,"PLAN INCONNU","ok"))</f>
        <v/>
      </c>
    </row>
    <row r="244">
      <c r="A244" s="16" t="n"/>
      <c r="B244" s="21" t="n"/>
      <c r="C244" s="16" t="n"/>
      <c r="D244" s="16" t="n"/>
      <c r="E244" s="21" t="n"/>
      <c r="F244" s="21" t="n"/>
      <c r="G244" s="16" t="n"/>
      <c r="H244" s="21" t="n"/>
      <c r="I244" s="23" t="n"/>
      <c r="J244" s="31" t="n"/>
      <c r="K244" s="23" t="n"/>
      <c r="L244" s="31" t="n"/>
      <c r="M244" s="21" t="n"/>
      <c r="N244" s="21" t="n"/>
      <c r="O244" s="28">
        <f>IF(A244="","",IF(SUMPRODUCT((Plans!$A$3:$A$300=A244)*(Plans!$B$3:$B$300=B244)*(Plans!$C$3:$C$300=C244))=0,"PLAN INCONNU","ok"))</f>
        <v/>
      </c>
    </row>
    <row r="245">
      <c r="A245" s="16" t="n"/>
      <c r="B245" s="21" t="n"/>
      <c r="C245" s="16" t="n"/>
      <c r="D245" s="16" t="n"/>
      <c r="E245" s="21" t="n"/>
      <c r="F245" s="21" t="n"/>
      <c r="G245" s="16" t="n"/>
      <c r="H245" s="21" t="n"/>
      <c r="I245" s="23" t="n"/>
      <c r="J245" s="31" t="n"/>
      <c r="K245" s="23" t="n"/>
      <c r="L245" s="31" t="n"/>
      <c r="M245" s="21" t="n"/>
      <c r="N245" s="21" t="n"/>
      <c r="O245" s="28">
        <f>IF(A245="","",IF(SUMPRODUCT((Plans!$A$3:$A$300=A245)*(Plans!$B$3:$B$300=B245)*(Plans!$C$3:$C$300=C245))=0,"PLAN INCONNU","ok"))</f>
        <v/>
      </c>
    </row>
    <row r="246">
      <c r="A246" s="16" t="n"/>
      <c r="B246" s="21" t="n"/>
      <c r="C246" s="16" t="n"/>
      <c r="D246" s="16" t="n"/>
      <c r="E246" s="21" t="n"/>
      <c r="F246" s="21" t="n"/>
      <c r="G246" s="16" t="n"/>
      <c r="H246" s="21" t="n"/>
      <c r="I246" s="23" t="n"/>
      <c r="J246" s="31" t="n"/>
      <c r="K246" s="23" t="n"/>
      <c r="L246" s="31" t="n"/>
      <c r="M246" s="21" t="n"/>
      <c r="N246" s="21" t="n"/>
      <c r="O246" s="28">
        <f>IF(A246="","",IF(SUMPRODUCT((Plans!$A$3:$A$300=A246)*(Plans!$B$3:$B$300=B246)*(Plans!$C$3:$C$300=C246))=0,"PLAN INCONNU","ok"))</f>
        <v/>
      </c>
    </row>
    <row r="247">
      <c r="A247" s="16" t="n"/>
      <c r="B247" s="21" t="n"/>
      <c r="C247" s="16" t="n"/>
      <c r="D247" s="16" t="n"/>
      <c r="E247" s="21" t="n"/>
      <c r="F247" s="21" t="n"/>
      <c r="G247" s="16" t="n"/>
      <c r="H247" s="21" t="n"/>
      <c r="I247" s="23" t="n"/>
      <c r="J247" s="31" t="n"/>
      <c r="K247" s="23" t="n"/>
      <c r="L247" s="31" t="n"/>
      <c r="M247" s="21" t="n"/>
      <c r="N247" s="21" t="n"/>
      <c r="O247" s="28">
        <f>IF(A247="","",IF(SUMPRODUCT((Plans!$A$3:$A$300=A247)*(Plans!$B$3:$B$300=B247)*(Plans!$C$3:$C$300=C247))=0,"PLAN INCONNU","ok"))</f>
        <v/>
      </c>
    </row>
    <row r="248">
      <c r="A248" s="16" t="n"/>
      <c r="B248" s="21" t="n"/>
      <c r="C248" s="16" t="n"/>
      <c r="D248" s="16" t="n"/>
      <c r="E248" s="21" t="n"/>
      <c r="F248" s="21" t="n"/>
      <c r="G248" s="16" t="n"/>
      <c r="H248" s="21" t="n"/>
      <c r="I248" s="23" t="n"/>
      <c r="J248" s="31" t="n"/>
      <c r="K248" s="23" t="n"/>
      <c r="L248" s="31" t="n"/>
      <c r="M248" s="21" t="n"/>
      <c r="N248" s="21" t="n"/>
      <c r="O248" s="28">
        <f>IF(A248="","",IF(SUMPRODUCT((Plans!$A$3:$A$300=A248)*(Plans!$B$3:$B$300=B248)*(Plans!$C$3:$C$300=C248))=0,"PLAN INCONNU","ok"))</f>
        <v/>
      </c>
    </row>
    <row r="249">
      <c r="A249" s="16" t="n"/>
      <c r="B249" s="21" t="n"/>
      <c r="C249" s="16" t="n"/>
      <c r="D249" s="16" t="n"/>
      <c r="E249" s="21" t="n"/>
      <c r="F249" s="21" t="n"/>
      <c r="G249" s="16" t="n"/>
      <c r="H249" s="21" t="n"/>
      <c r="I249" s="23" t="n"/>
      <c r="J249" s="31" t="n"/>
      <c r="K249" s="23" t="n"/>
      <c r="L249" s="31" t="n"/>
      <c r="M249" s="21" t="n"/>
      <c r="N249" s="21" t="n"/>
      <c r="O249" s="28">
        <f>IF(A249="","",IF(SUMPRODUCT((Plans!$A$3:$A$300=A249)*(Plans!$B$3:$B$300=B249)*(Plans!$C$3:$C$300=C249))=0,"PLAN INCONNU","ok"))</f>
        <v/>
      </c>
    </row>
    <row r="250">
      <c r="A250" s="16" t="n"/>
      <c r="B250" s="21" t="n"/>
      <c r="C250" s="16" t="n"/>
      <c r="D250" s="16" t="n"/>
      <c r="E250" s="21" t="n"/>
      <c r="F250" s="21" t="n"/>
      <c r="G250" s="16" t="n"/>
      <c r="H250" s="21" t="n"/>
      <c r="I250" s="23" t="n"/>
      <c r="J250" s="31" t="n"/>
      <c r="K250" s="23" t="n"/>
      <c r="L250" s="31" t="n"/>
      <c r="M250" s="21" t="n"/>
      <c r="N250" s="21" t="n"/>
      <c r="O250" s="28">
        <f>IF(A250="","",IF(SUMPRODUCT((Plans!$A$3:$A$300=A250)*(Plans!$B$3:$B$300=B250)*(Plans!$C$3:$C$300=C250))=0,"PLAN INCONNU","ok"))</f>
        <v/>
      </c>
    </row>
    <row r="251">
      <c r="A251" s="16" t="n"/>
      <c r="B251" s="21" t="n"/>
      <c r="C251" s="16" t="n"/>
      <c r="D251" s="16" t="n"/>
      <c r="E251" s="21" t="n"/>
      <c r="F251" s="21" t="n"/>
      <c r="G251" s="16" t="n"/>
      <c r="H251" s="21" t="n"/>
      <c r="I251" s="23" t="n"/>
      <c r="J251" s="31" t="n"/>
      <c r="K251" s="23" t="n"/>
      <c r="L251" s="31" t="n"/>
      <c r="M251" s="21" t="n"/>
      <c r="N251" s="21" t="n"/>
      <c r="O251" s="28">
        <f>IF(A251="","",IF(SUMPRODUCT((Plans!$A$3:$A$300=A251)*(Plans!$B$3:$B$300=B251)*(Plans!$C$3:$C$300=C251))=0,"PLAN INCONNU","ok"))</f>
        <v/>
      </c>
    </row>
    <row r="252">
      <c r="A252" s="16" t="n"/>
      <c r="B252" s="21" t="n"/>
      <c r="C252" s="16" t="n"/>
      <c r="D252" s="16" t="n"/>
      <c r="E252" s="21" t="n"/>
      <c r="F252" s="21" t="n"/>
      <c r="G252" s="16" t="n"/>
      <c r="H252" s="21" t="n"/>
      <c r="I252" s="23" t="n"/>
      <c r="J252" s="31" t="n"/>
      <c r="K252" s="23" t="n"/>
      <c r="L252" s="31" t="n"/>
      <c r="M252" s="21" t="n"/>
      <c r="N252" s="21" t="n"/>
      <c r="O252" s="28">
        <f>IF(A252="","",IF(SUMPRODUCT((Plans!$A$3:$A$300=A252)*(Plans!$B$3:$B$300=B252)*(Plans!$C$3:$C$300=C252))=0,"PLAN INCONNU","ok"))</f>
        <v/>
      </c>
    </row>
    <row r="253">
      <c r="A253" s="16" t="n"/>
      <c r="B253" s="21" t="n"/>
      <c r="C253" s="16" t="n"/>
      <c r="D253" s="16" t="n"/>
      <c r="E253" s="21" t="n"/>
      <c r="F253" s="21" t="n"/>
      <c r="G253" s="16" t="n"/>
      <c r="H253" s="21" t="n"/>
      <c r="I253" s="23" t="n"/>
      <c r="J253" s="31" t="n"/>
      <c r="K253" s="23" t="n"/>
      <c r="L253" s="31" t="n"/>
      <c r="M253" s="21" t="n"/>
      <c r="N253" s="21" t="n"/>
      <c r="O253" s="28">
        <f>IF(A253="","",IF(SUMPRODUCT((Plans!$A$3:$A$300=A253)*(Plans!$B$3:$B$300=B253)*(Plans!$C$3:$C$300=C253))=0,"PLAN INCONNU","ok"))</f>
        <v/>
      </c>
    </row>
    <row r="254">
      <c r="A254" s="16" t="n"/>
      <c r="B254" s="21" t="n"/>
      <c r="C254" s="16" t="n"/>
      <c r="D254" s="16" t="n"/>
      <c r="E254" s="21" t="n"/>
      <c r="F254" s="21" t="n"/>
      <c r="G254" s="16" t="n"/>
      <c r="H254" s="21" t="n"/>
      <c r="I254" s="23" t="n"/>
      <c r="J254" s="31" t="n"/>
      <c r="K254" s="23" t="n"/>
      <c r="L254" s="31" t="n"/>
      <c r="M254" s="21" t="n"/>
      <c r="N254" s="21" t="n"/>
      <c r="O254" s="28">
        <f>IF(A254="","",IF(SUMPRODUCT((Plans!$A$3:$A$300=A254)*(Plans!$B$3:$B$300=B254)*(Plans!$C$3:$C$300=C254))=0,"PLAN INCONNU","ok"))</f>
        <v/>
      </c>
    </row>
    <row r="255">
      <c r="A255" s="16" t="n"/>
      <c r="B255" s="21" t="n"/>
      <c r="C255" s="16" t="n"/>
      <c r="D255" s="16" t="n"/>
      <c r="E255" s="21" t="n"/>
      <c r="F255" s="21" t="n"/>
      <c r="G255" s="16" t="n"/>
      <c r="H255" s="21" t="n"/>
      <c r="I255" s="23" t="n"/>
      <c r="J255" s="31" t="n"/>
      <c r="K255" s="23" t="n"/>
      <c r="L255" s="31" t="n"/>
      <c r="M255" s="21" t="n"/>
      <c r="N255" s="21" t="n"/>
      <c r="O255" s="28">
        <f>IF(A255="","",IF(SUMPRODUCT((Plans!$A$3:$A$300=A255)*(Plans!$B$3:$B$300=B255)*(Plans!$C$3:$C$300=C255))=0,"PLAN INCONNU","ok"))</f>
        <v/>
      </c>
    </row>
    <row r="256">
      <c r="A256" s="16" t="n"/>
      <c r="B256" s="21" t="n"/>
      <c r="C256" s="16" t="n"/>
      <c r="D256" s="16" t="n"/>
      <c r="E256" s="21" t="n"/>
      <c r="F256" s="21" t="n"/>
      <c r="G256" s="16" t="n"/>
      <c r="H256" s="21" t="n"/>
      <c r="I256" s="23" t="n"/>
      <c r="J256" s="31" t="n"/>
      <c r="K256" s="23" t="n"/>
      <c r="L256" s="31" t="n"/>
      <c r="M256" s="21" t="n"/>
      <c r="N256" s="21" t="n"/>
      <c r="O256" s="28">
        <f>IF(A256="","",IF(SUMPRODUCT((Plans!$A$3:$A$300=A256)*(Plans!$B$3:$B$300=B256)*(Plans!$C$3:$C$300=C256))=0,"PLAN INCONNU","ok"))</f>
        <v/>
      </c>
    </row>
    <row r="257">
      <c r="A257" s="16" t="n"/>
      <c r="B257" s="21" t="n"/>
      <c r="C257" s="16" t="n"/>
      <c r="D257" s="16" t="n"/>
      <c r="E257" s="21" t="n"/>
      <c r="F257" s="21" t="n"/>
      <c r="G257" s="16" t="n"/>
      <c r="H257" s="21" t="n"/>
      <c r="I257" s="23" t="n"/>
      <c r="J257" s="31" t="n"/>
      <c r="K257" s="23" t="n"/>
      <c r="L257" s="31" t="n"/>
      <c r="M257" s="21" t="n"/>
      <c r="N257" s="21" t="n"/>
      <c r="O257" s="28">
        <f>IF(A257="","",IF(SUMPRODUCT((Plans!$A$3:$A$300=A257)*(Plans!$B$3:$B$300=B257)*(Plans!$C$3:$C$300=C257))=0,"PLAN INCONNU","ok"))</f>
        <v/>
      </c>
    </row>
    <row r="258">
      <c r="A258" s="16" t="n"/>
      <c r="B258" s="21" t="n"/>
      <c r="C258" s="16" t="n"/>
      <c r="D258" s="16" t="n"/>
      <c r="E258" s="21" t="n"/>
      <c r="F258" s="21" t="n"/>
      <c r="G258" s="16" t="n"/>
      <c r="H258" s="21" t="n"/>
      <c r="I258" s="23" t="n"/>
      <c r="J258" s="31" t="n"/>
      <c r="K258" s="23" t="n"/>
      <c r="L258" s="31" t="n"/>
      <c r="M258" s="21" t="n"/>
      <c r="N258" s="21" t="n"/>
      <c r="O258" s="28">
        <f>IF(A258="","",IF(SUMPRODUCT((Plans!$A$3:$A$300=A258)*(Plans!$B$3:$B$300=B258)*(Plans!$C$3:$C$300=C258))=0,"PLAN INCONNU","ok"))</f>
        <v/>
      </c>
    </row>
    <row r="259">
      <c r="A259" s="16" t="n"/>
      <c r="B259" s="21" t="n"/>
      <c r="C259" s="16" t="n"/>
      <c r="D259" s="16" t="n"/>
      <c r="E259" s="21" t="n"/>
      <c r="F259" s="21" t="n"/>
      <c r="G259" s="16" t="n"/>
      <c r="H259" s="21" t="n"/>
      <c r="I259" s="23" t="n"/>
      <c r="J259" s="31" t="n"/>
      <c r="K259" s="23" t="n"/>
      <c r="L259" s="31" t="n"/>
      <c r="M259" s="21" t="n"/>
      <c r="N259" s="21" t="n"/>
      <c r="O259" s="28">
        <f>IF(A259="","",IF(SUMPRODUCT((Plans!$A$3:$A$300=A259)*(Plans!$B$3:$B$300=B259)*(Plans!$C$3:$C$300=C259))=0,"PLAN INCONNU","ok"))</f>
        <v/>
      </c>
    </row>
    <row r="260">
      <c r="A260" s="16" t="n"/>
      <c r="B260" s="21" t="n"/>
      <c r="C260" s="16" t="n"/>
      <c r="D260" s="16" t="n"/>
      <c r="E260" s="21" t="n"/>
      <c r="F260" s="21" t="n"/>
      <c r="G260" s="16" t="n"/>
      <c r="H260" s="21" t="n"/>
      <c r="I260" s="23" t="n"/>
      <c r="J260" s="31" t="n"/>
      <c r="K260" s="23" t="n"/>
      <c r="L260" s="31" t="n"/>
      <c r="M260" s="21" t="n"/>
      <c r="N260" s="21" t="n"/>
      <c r="O260" s="28">
        <f>IF(A260="","",IF(SUMPRODUCT((Plans!$A$3:$A$300=A260)*(Plans!$B$3:$B$300=B260)*(Plans!$C$3:$C$300=C260))=0,"PLAN INCONNU","ok"))</f>
        <v/>
      </c>
    </row>
    <row r="261">
      <c r="A261" s="16" t="n"/>
      <c r="B261" s="21" t="n"/>
      <c r="C261" s="16" t="n"/>
      <c r="D261" s="16" t="n"/>
      <c r="E261" s="21" t="n"/>
      <c r="F261" s="21" t="n"/>
      <c r="G261" s="16" t="n"/>
      <c r="H261" s="21" t="n"/>
      <c r="I261" s="23" t="n"/>
      <c r="J261" s="31" t="n"/>
      <c r="K261" s="23" t="n"/>
      <c r="L261" s="31" t="n"/>
      <c r="M261" s="21" t="n"/>
      <c r="N261" s="21" t="n"/>
      <c r="O261" s="28">
        <f>IF(A261="","",IF(SUMPRODUCT((Plans!$A$3:$A$300=A261)*(Plans!$B$3:$B$300=B261)*(Plans!$C$3:$C$300=C261))=0,"PLAN INCONNU","ok"))</f>
        <v/>
      </c>
    </row>
    <row r="262">
      <c r="A262" s="16" t="n"/>
      <c r="B262" s="21" t="n"/>
      <c r="C262" s="16" t="n"/>
      <c r="D262" s="16" t="n"/>
      <c r="E262" s="21" t="n"/>
      <c r="F262" s="21" t="n"/>
      <c r="G262" s="16" t="n"/>
      <c r="H262" s="21" t="n"/>
      <c r="I262" s="23" t="n"/>
      <c r="J262" s="31" t="n"/>
      <c r="K262" s="23" t="n"/>
      <c r="L262" s="31" t="n"/>
      <c r="M262" s="21" t="n"/>
      <c r="N262" s="21" t="n"/>
      <c r="O262" s="28">
        <f>IF(A262="","",IF(SUMPRODUCT((Plans!$A$3:$A$300=A262)*(Plans!$B$3:$B$300=B262)*(Plans!$C$3:$C$300=C262))=0,"PLAN INCONNU","ok"))</f>
        <v/>
      </c>
    </row>
    <row r="263">
      <c r="A263" s="16" t="n"/>
      <c r="B263" s="21" t="n"/>
      <c r="C263" s="16" t="n"/>
      <c r="D263" s="16" t="n"/>
      <c r="E263" s="21" t="n"/>
      <c r="F263" s="21" t="n"/>
      <c r="G263" s="16" t="n"/>
      <c r="H263" s="21" t="n"/>
      <c r="I263" s="23" t="n"/>
      <c r="J263" s="31" t="n"/>
      <c r="K263" s="23" t="n"/>
      <c r="L263" s="31" t="n"/>
      <c r="M263" s="21" t="n"/>
      <c r="N263" s="21" t="n"/>
      <c r="O263" s="28">
        <f>IF(A263="","",IF(SUMPRODUCT((Plans!$A$3:$A$300=A263)*(Plans!$B$3:$B$300=B263)*(Plans!$C$3:$C$300=C263))=0,"PLAN INCONNU","ok"))</f>
        <v/>
      </c>
    </row>
    <row r="264">
      <c r="A264" s="16" t="n"/>
      <c r="B264" s="21" t="n"/>
      <c r="C264" s="16" t="n"/>
      <c r="D264" s="16" t="n"/>
      <c r="E264" s="21" t="n"/>
      <c r="F264" s="21" t="n"/>
      <c r="G264" s="16" t="n"/>
      <c r="H264" s="21" t="n"/>
      <c r="I264" s="23" t="n"/>
      <c r="J264" s="31" t="n"/>
      <c r="K264" s="23" t="n"/>
      <c r="L264" s="31" t="n"/>
      <c r="M264" s="21" t="n"/>
      <c r="N264" s="21" t="n"/>
      <c r="O264" s="28">
        <f>IF(A264="","",IF(SUMPRODUCT((Plans!$A$3:$A$300=A264)*(Plans!$B$3:$B$300=B264)*(Plans!$C$3:$C$300=C264))=0,"PLAN INCONNU","ok"))</f>
        <v/>
      </c>
    </row>
    <row r="265">
      <c r="A265" s="16" t="n"/>
      <c r="B265" s="21" t="n"/>
      <c r="C265" s="16" t="n"/>
      <c r="D265" s="16" t="n"/>
      <c r="E265" s="21" t="n"/>
      <c r="F265" s="21" t="n"/>
      <c r="G265" s="16" t="n"/>
      <c r="H265" s="21" t="n"/>
      <c r="I265" s="23" t="n"/>
      <c r="J265" s="31" t="n"/>
      <c r="K265" s="23" t="n"/>
      <c r="L265" s="31" t="n"/>
      <c r="M265" s="21" t="n"/>
      <c r="N265" s="21" t="n"/>
      <c r="O265" s="28">
        <f>IF(A265="","",IF(SUMPRODUCT((Plans!$A$3:$A$300=A265)*(Plans!$B$3:$B$300=B265)*(Plans!$C$3:$C$300=C265))=0,"PLAN INCONNU","ok"))</f>
        <v/>
      </c>
    </row>
    <row r="266">
      <c r="A266" s="16" t="n"/>
      <c r="B266" s="21" t="n"/>
      <c r="C266" s="16" t="n"/>
      <c r="D266" s="16" t="n"/>
      <c r="E266" s="21" t="n"/>
      <c r="F266" s="21" t="n"/>
      <c r="G266" s="16" t="n"/>
      <c r="H266" s="21" t="n"/>
      <c r="I266" s="23" t="n"/>
      <c r="J266" s="31" t="n"/>
      <c r="K266" s="23" t="n"/>
      <c r="L266" s="31" t="n"/>
      <c r="M266" s="21" t="n"/>
      <c r="N266" s="21" t="n"/>
      <c r="O266" s="28">
        <f>IF(A266="","",IF(SUMPRODUCT((Plans!$A$3:$A$300=A266)*(Plans!$B$3:$B$300=B266)*(Plans!$C$3:$C$300=C266))=0,"PLAN INCONNU","ok"))</f>
        <v/>
      </c>
    </row>
    <row r="267">
      <c r="A267" s="16" t="n"/>
      <c r="B267" s="21" t="n"/>
      <c r="C267" s="16" t="n"/>
      <c r="D267" s="16" t="n"/>
      <c r="E267" s="21" t="n"/>
      <c r="F267" s="21" t="n"/>
      <c r="G267" s="16" t="n"/>
      <c r="H267" s="21" t="n"/>
      <c r="I267" s="23" t="n"/>
      <c r="J267" s="31" t="n"/>
      <c r="K267" s="23" t="n"/>
      <c r="L267" s="31" t="n"/>
      <c r="M267" s="21" t="n"/>
      <c r="N267" s="21" t="n"/>
      <c r="O267" s="28">
        <f>IF(A267="","",IF(SUMPRODUCT((Plans!$A$3:$A$300=A267)*(Plans!$B$3:$B$300=B267)*(Plans!$C$3:$C$300=C267))=0,"PLAN INCONNU","ok"))</f>
        <v/>
      </c>
    </row>
    <row r="268">
      <c r="A268" s="16" t="n"/>
      <c r="B268" s="21" t="n"/>
      <c r="C268" s="16" t="n"/>
      <c r="D268" s="16" t="n"/>
      <c r="E268" s="21" t="n"/>
      <c r="F268" s="21" t="n"/>
      <c r="G268" s="16" t="n"/>
      <c r="H268" s="21" t="n"/>
      <c r="I268" s="23" t="n"/>
      <c r="J268" s="31" t="n"/>
      <c r="K268" s="23" t="n"/>
      <c r="L268" s="31" t="n"/>
      <c r="M268" s="21" t="n"/>
      <c r="N268" s="21" t="n"/>
      <c r="O268" s="28">
        <f>IF(A268="","",IF(SUMPRODUCT((Plans!$A$3:$A$300=A268)*(Plans!$B$3:$B$300=B268)*(Plans!$C$3:$C$300=C268))=0,"PLAN INCONNU","ok"))</f>
        <v/>
      </c>
    </row>
    <row r="269">
      <c r="A269" s="16" t="n"/>
      <c r="B269" s="21" t="n"/>
      <c r="C269" s="16" t="n"/>
      <c r="D269" s="16" t="n"/>
      <c r="E269" s="21" t="n"/>
      <c r="F269" s="21" t="n"/>
      <c r="G269" s="16" t="n"/>
      <c r="H269" s="21" t="n"/>
      <c r="I269" s="23" t="n"/>
      <c r="J269" s="31" t="n"/>
      <c r="K269" s="23" t="n"/>
      <c r="L269" s="31" t="n"/>
      <c r="M269" s="21" t="n"/>
      <c r="N269" s="21" t="n"/>
      <c r="O269" s="28">
        <f>IF(A269="","",IF(SUMPRODUCT((Plans!$A$3:$A$300=A269)*(Plans!$B$3:$B$300=B269)*(Plans!$C$3:$C$300=C269))=0,"PLAN INCONNU","ok"))</f>
        <v/>
      </c>
    </row>
    <row r="270">
      <c r="A270" s="16" t="n"/>
      <c r="B270" s="21" t="n"/>
      <c r="C270" s="16" t="n"/>
      <c r="D270" s="16" t="n"/>
      <c r="E270" s="21" t="n"/>
      <c r="F270" s="21" t="n"/>
      <c r="G270" s="16" t="n"/>
      <c r="H270" s="21" t="n"/>
      <c r="I270" s="23" t="n"/>
      <c r="J270" s="31" t="n"/>
      <c r="K270" s="23" t="n"/>
      <c r="L270" s="31" t="n"/>
      <c r="M270" s="21" t="n"/>
      <c r="N270" s="21" t="n"/>
      <c r="O270" s="28">
        <f>IF(A270="","",IF(SUMPRODUCT((Plans!$A$3:$A$300=A270)*(Plans!$B$3:$B$300=B270)*(Plans!$C$3:$C$300=C270))=0,"PLAN INCONNU","ok"))</f>
        <v/>
      </c>
    </row>
    <row r="271">
      <c r="A271" s="16" t="n"/>
      <c r="B271" s="21" t="n"/>
      <c r="C271" s="16" t="n"/>
      <c r="D271" s="16" t="n"/>
      <c r="E271" s="21" t="n"/>
      <c r="F271" s="21" t="n"/>
      <c r="G271" s="16" t="n"/>
      <c r="H271" s="21" t="n"/>
      <c r="I271" s="23" t="n"/>
      <c r="J271" s="31" t="n"/>
      <c r="K271" s="23" t="n"/>
      <c r="L271" s="31" t="n"/>
      <c r="M271" s="21" t="n"/>
      <c r="N271" s="21" t="n"/>
      <c r="O271" s="28">
        <f>IF(A271="","",IF(SUMPRODUCT((Plans!$A$3:$A$300=A271)*(Plans!$B$3:$B$300=B271)*(Plans!$C$3:$C$300=C271))=0,"PLAN INCONNU","ok"))</f>
        <v/>
      </c>
    </row>
    <row r="272">
      <c r="A272" s="16" t="n"/>
      <c r="B272" s="21" t="n"/>
      <c r="C272" s="16" t="n"/>
      <c r="D272" s="16" t="n"/>
      <c r="E272" s="21" t="n"/>
      <c r="F272" s="21" t="n"/>
      <c r="G272" s="16" t="n"/>
      <c r="H272" s="21" t="n"/>
      <c r="I272" s="23" t="n"/>
      <c r="J272" s="31" t="n"/>
      <c r="K272" s="23" t="n"/>
      <c r="L272" s="31" t="n"/>
      <c r="M272" s="21" t="n"/>
      <c r="N272" s="21" t="n"/>
      <c r="O272" s="28">
        <f>IF(A272="","",IF(SUMPRODUCT((Plans!$A$3:$A$300=A272)*(Plans!$B$3:$B$300=B272)*(Plans!$C$3:$C$300=C272))=0,"PLAN INCONNU","ok"))</f>
        <v/>
      </c>
    </row>
    <row r="273">
      <c r="A273" s="16" t="n"/>
      <c r="B273" s="21" t="n"/>
      <c r="C273" s="16" t="n"/>
      <c r="D273" s="16" t="n"/>
      <c r="E273" s="21" t="n"/>
      <c r="F273" s="21" t="n"/>
      <c r="G273" s="16" t="n"/>
      <c r="H273" s="21" t="n"/>
      <c r="I273" s="23" t="n"/>
      <c r="J273" s="31" t="n"/>
      <c r="K273" s="23" t="n"/>
      <c r="L273" s="31" t="n"/>
      <c r="M273" s="21" t="n"/>
      <c r="N273" s="21" t="n"/>
      <c r="O273" s="28">
        <f>IF(A273="","",IF(SUMPRODUCT((Plans!$A$3:$A$300=A273)*(Plans!$B$3:$B$300=B273)*(Plans!$C$3:$C$300=C273))=0,"PLAN INCONNU","ok"))</f>
        <v/>
      </c>
    </row>
    <row r="274">
      <c r="A274" s="16" t="n"/>
      <c r="B274" s="21" t="n"/>
      <c r="C274" s="16" t="n"/>
      <c r="D274" s="16" t="n"/>
      <c r="E274" s="21" t="n"/>
      <c r="F274" s="21" t="n"/>
      <c r="G274" s="16" t="n"/>
      <c r="H274" s="21" t="n"/>
      <c r="I274" s="23" t="n"/>
      <c r="J274" s="31" t="n"/>
      <c r="K274" s="23" t="n"/>
      <c r="L274" s="31" t="n"/>
      <c r="M274" s="21" t="n"/>
      <c r="N274" s="21" t="n"/>
      <c r="O274" s="28">
        <f>IF(A274="","",IF(SUMPRODUCT((Plans!$A$3:$A$300=A274)*(Plans!$B$3:$B$300=B274)*(Plans!$C$3:$C$300=C274))=0,"PLAN INCONNU","ok"))</f>
        <v/>
      </c>
    </row>
    <row r="275">
      <c r="A275" s="16" t="n"/>
      <c r="B275" s="21" t="n"/>
      <c r="C275" s="16" t="n"/>
      <c r="D275" s="16" t="n"/>
      <c r="E275" s="21" t="n"/>
      <c r="F275" s="21" t="n"/>
      <c r="G275" s="16" t="n"/>
      <c r="H275" s="21" t="n"/>
      <c r="I275" s="23" t="n"/>
      <c r="J275" s="31" t="n"/>
      <c r="K275" s="23" t="n"/>
      <c r="L275" s="31" t="n"/>
      <c r="M275" s="21" t="n"/>
      <c r="N275" s="21" t="n"/>
      <c r="O275" s="28">
        <f>IF(A275="","",IF(SUMPRODUCT((Plans!$A$3:$A$300=A275)*(Plans!$B$3:$B$300=B275)*(Plans!$C$3:$C$300=C275))=0,"PLAN INCONNU","ok"))</f>
        <v/>
      </c>
    </row>
    <row r="276">
      <c r="A276" s="16" t="n"/>
      <c r="B276" s="21" t="n"/>
      <c r="C276" s="16" t="n"/>
      <c r="D276" s="16" t="n"/>
      <c r="E276" s="21" t="n"/>
      <c r="F276" s="21" t="n"/>
      <c r="G276" s="16" t="n"/>
      <c r="H276" s="21" t="n"/>
      <c r="I276" s="23" t="n"/>
      <c r="J276" s="31" t="n"/>
      <c r="K276" s="23" t="n"/>
      <c r="L276" s="31" t="n"/>
      <c r="M276" s="21" t="n"/>
      <c r="N276" s="21" t="n"/>
      <c r="O276" s="28">
        <f>IF(A276="","",IF(SUMPRODUCT((Plans!$A$3:$A$300=A276)*(Plans!$B$3:$B$300=B276)*(Plans!$C$3:$C$300=C276))=0,"PLAN INCONNU","ok"))</f>
        <v/>
      </c>
    </row>
    <row r="277">
      <c r="A277" s="16" t="n"/>
      <c r="B277" s="21" t="n"/>
      <c r="C277" s="16" t="n"/>
      <c r="D277" s="16" t="n"/>
      <c r="E277" s="21" t="n"/>
      <c r="F277" s="21" t="n"/>
      <c r="G277" s="16" t="n"/>
      <c r="H277" s="21" t="n"/>
      <c r="I277" s="23" t="n"/>
      <c r="J277" s="31" t="n"/>
      <c r="K277" s="23" t="n"/>
      <c r="L277" s="31" t="n"/>
      <c r="M277" s="21" t="n"/>
      <c r="N277" s="21" t="n"/>
      <c r="O277" s="28">
        <f>IF(A277="","",IF(SUMPRODUCT((Plans!$A$3:$A$300=A277)*(Plans!$B$3:$B$300=B277)*(Plans!$C$3:$C$300=C277))=0,"PLAN INCONNU","ok"))</f>
        <v/>
      </c>
    </row>
    <row r="278">
      <c r="A278" s="16" t="n"/>
      <c r="B278" s="21" t="n"/>
      <c r="C278" s="16" t="n"/>
      <c r="D278" s="16" t="n"/>
      <c r="E278" s="21" t="n"/>
      <c r="F278" s="21" t="n"/>
      <c r="G278" s="16" t="n"/>
      <c r="H278" s="21" t="n"/>
      <c r="I278" s="23" t="n"/>
      <c r="J278" s="31" t="n"/>
      <c r="K278" s="23" t="n"/>
      <c r="L278" s="31" t="n"/>
      <c r="M278" s="21" t="n"/>
      <c r="N278" s="21" t="n"/>
      <c r="O278" s="28">
        <f>IF(A278="","",IF(SUMPRODUCT((Plans!$A$3:$A$300=A278)*(Plans!$B$3:$B$300=B278)*(Plans!$C$3:$C$300=C278))=0,"PLAN INCONNU","ok"))</f>
        <v/>
      </c>
    </row>
    <row r="279">
      <c r="A279" s="16" t="n"/>
      <c r="B279" s="21" t="n"/>
      <c r="C279" s="16" t="n"/>
      <c r="D279" s="16" t="n"/>
      <c r="E279" s="21" t="n"/>
      <c r="F279" s="21" t="n"/>
      <c r="G279" s="16" t="n"/>
      <c r="H279" s="21" t="n"/>
      <c r="I279" s="23" t="n"/>
      <c r="J279" s="31" t="n"/>
      <c r="K279" s="23" t="n"/>
      <c r="L279" s="31" t="n"/>
      <c r="M279" s="21" t="n"/>
      <c r="N279" s="21" t="n"/>
      <c r="O279" s="28">
        <f>IF(A279="","",IF(SUMPRODUCT((Plans!$A$3:$A$300=A279)*(Plans!$B$3:$B$300=B279)*(Plans!$C$3:$C$300=C279))=0,"PLAN INCONNU","ok"))</f>
        <v/>
      </c>
    </row>
    <row r="280">
      <c r="A280" s="16" t="n"/>
      <c r="B280" s="21" t="n"/>
      <c r="C280" s="16" t="n"/>
      <c r="D280" s="16" t="n"/>
      <c r="E280" s="21" t="n"/>
      <c r="F280" s="21" t="n"/>
      <c r="G280" s="16" t="n"/>
      <c r="H280" s="21" t="n"/>
      <c r="I280" s="23" t="n"/>
      <c r="J280" s="31" t="n"/>
      <c r="K280" s="23" t="n"/>
      <c r="L280" s="31" t="n"/>
      <c r="M280" s="21" t="n"/>
      <c r="N280" s="21" t="n"/>
      <c r="O280" s="28">
        <f>IF(A280="","",IF(SUMPRODUCT((Plans!$A$3:$A$300=A280)*(Plans!$B$3:$B$300=B280)*(Plans!$C$3:$C$300=C280))=0,"PLAN INCONNU","ok"))</f>
        <v/>
      </c>
    </row>
    <row r="281">
      <c r="A281" s="16" t="n"/>
      <c r="B281" s="21" t="n"/>
      <c r="C281" s="16" t="n"/>
      <c r="D281" s="16" t="n"/>
      <c r="E281" s="21" t="n"/>
      <c r="F281" s="21" t="n"/>
      <c r="G281" s="16" t="n"/>
      <c r="H281" s="21" t="n"/>
      <c r="I281" s="23" t="n"/>
      <c r="J281" s="31" t="n"/>
      <c r="K281" s="23" t="n"/>
      <c r="L281" s="31" t="n"/>
      <c r="M281" s="21" t="n"/>
      <c r="N281" s="21" t="n"/>
      <c r="O281" s="28">
        <f>IF(A281="","",IF(SUMPRODUCT((Plans!$A$3:$A$300=A281)*(Plans!$B$3:$B$300=B281)*(Plans!$C$3:$C$300=C281))=0,"PLAN INCONNU","ok"))</f>
        <v/>
      </c>
    </row>
    <row r="282">
      <c r="A282" s="16" t="n"/>
      <c r="B282" s="21" t="n"/>
      <c r="C282" s="16" t="n"/>
      <c r="D282" s="16" t="n"/>
      <c r="E282" s="21" t="n"/>
      <c r="F282" s="21" t="n"/>
      <c r="G282" s="16" t="n"/>
      <c r="H282" s="21" t="n"/>
      <c r="I282" s="23" t="n"/>
      <c r="J282" s="31" t="n"/>
      <c r="K282" s="23" t="n"/>
      <c r="L282" s="31" t="n"/>
      <c r="M282" s="21" t="n"/>
      <c r="N282" s="21" t="n"/>
      <c r="O282" s="28">
        <f>IF(A282="","",IF(SUMPRODUCT((Plans!$A$3:$A$300=A282)*(Plans!$B$3:$B$300=B282)*(Plans!$C$3:$C$300=C282))=0,"PLAN INCONNU","ok"))</f>
        <v/>
      </c>
    </row>
    <row r="283">
      <c r="A283" s="16" t="n"/>
      <c r="B283" s="21" t="n"/>
      <c r="C283" s="16" t="n"/>
      <c r="D283" s="16" t="n"/>
      <c r="E283" s="21" t="n"/>
      <c r="F283" s="21" t="n"/>
      <c r="G283" s="16" t="n"/>
      <c r="H283" s="21" t="n"/>
      <c r="I283" s="23" t="n"/>
      <c r="J283" s="31" t="n"/>
      <c r="K283" s="23" t="n"/>
      <c r="L283" s="31" t="n"/>
      <c r="M283" s="21" t="n"/>
      <c r="N283" s="21" t="n"/>
      <c r="O283" s="28">
        <f>IF(A283="","",IF(SUMPRODUCT((Plans!$A$3:$A$300=A283)*(Plans!$B$3:$B$300=B283)*(Plans!$C$3:$C$300=C283))=0,"PLAN INCONNU","ok"))</f>
        <v/>
      </c>
    </row>
    <row r="284">
      <c r="A284" s="16" t="n"/>
      <c r="B284" s="21" t="n"/>
      <c r="C284" s="16" t="n"/>
      <c r="D284" s="16" t="n"/>
      <c r="E284" s="21" t="n"/>
      <c r="F284" s="21" t="n"/>
      <c r="G284" s="16" t="n"/>
      <c r="H284" s="21" t="n"/>
      <c r="I284" s="23" t="n"/>
      <c r="J284" s="31" t="n"/>
      <c r="K284" s="23" t="n"/>
      <c r="L284" s="31" t="n"/>
      <c r="M284" s="21" t="n"/>
      <c r="N284" s="21" t="n"/>
      <c r="O284" s="28">
        <f>IF(A284="","",IF(SUMPRODUCT((Plans!$A$3:$A$300=A284)*(Plans!$B$3:$B$300=B284)*(Plans!$C$3:$C$300=C284))=0,"PLAN INCONNU","ok"))</f>
        <v/>
      </c>
    </row>
    <row r="285">
      <c r="A285" s="16" t="n"/>
      <c r="B285" s="21" t="n"/>
      <c r="C285" s="16" t="n"/>
      <c r="D285" s="16" t="n"/>
      <c r="E285" s="21" t="n"/>
      <c r="F285" s="21" t="n"/>
      <c r="G285" s="16" t="n"/>
      <c r="H285" s="21" t="n"/>
      <c r="I285" s="23" t="n"/>
      <c r="J285" s="31" t="n"/>
      <c r="K285" s="23" t="n"/>
      <c r="L285" s="31" t="n"/>
      <c r="M285" s="21" t="n"/>
      <c r="N285" s="21" t="n"/>
      <c r="O285" s="28">
        <f>IF(A285="","",IF(SUMPRODUCT((Plans!$A$3:$A$300=A285)*(Plans!$B$3:$B$300=B285)*(Plans!$C$3:$C$300=C285))=0,"PLAN INCONNU","ok"))</f>
        <v/>
      </c>
    </row>
    <row r="286">
      <c r="A286" s="16" t="n"/>
      <c r="B286" s="21" t="n"/>
      <c r="C286" s="16" t="n"/>
      <c r="D286" s="16" t="n"/>
      <c r="E286" s="21" t="n"/>
      <c r="F286" s="21" t="n"/>
      <c r="G286" s="16" t="n"/>
      <c r="H286" s="21" t="n"/>
      <c r="I286" s="23" t="n"/>
      <c r="J286" s="31" t="n"/>
      <c r="K286" s="23" t="n"/>
      <c r="L286" s="31" t="n"/>
      <c r="M286" s="21" t="n"/>
      <c r="N286" s="21" t="n"/>
      <c r="O286" s="28">
        <f>IF(A286="","",IF(SUMPRODUCT((Plans!$A$3:$A$300=A286)*(Plans!$B$3:$B$300=B286)*(Plans!$C$3:$C$300=C286))=0,"PLAN INCONNU","ok"))</f>
        <v/>
      </c>
    </row>
    <row r="287">
      <c r="A287" s="16" t="n"/>
      <c r="B287" s="21" t="n"/>
      <c r="C287" s="16" t="n"/>
      <c r="D287" s="16" t="n"/>
      <c r="E287" s="21" t="n"/>
      <c r="F287" s="21" t="n"/>
      <c r="G287" s="16" t="n"/>
      <c r="H287" s="21" t="n"/>
      <c r="I287" s="23" t="n"/>
      <c r="J287" s="31" t="n"/>
      <c r="K287" s="23" t="n"/>
      <c r="L287" s="31" t="n"/>
      <c r="M287" s="21" t="n"/>
      <c r="N287" s="21" t="n"/>
      <c r="O287" s="28">
        <f>IF(A287="","",IF(SUMPRODUCT((Plans!$A$3:$A$300=A287)*(Plans!$B$3:$B$300=B287)*(Plans!$C$3:$C$300=C287))=0,"PLAN INCONNU","ok"))</f>
        <v/>
      </c>
    </row>
    <row r="288">
      <c r="A288" s="16" t="n"/>
      <c r="B288" s="21" t="n"/>
      <c r="C288" s="16" t="n"/>
      <c r="D288" s="16" t="n"/>
      <c r="E288" s="21" t="n"/>
      <c r="F288" s="21" t="n"/>
      <c r="G288" s="16" t="n"/>
      <c r="H288" s="21" t="n"/>
      <c r="I288" s="23" t="n"/>
      <c r="J288" s="31" t="n"/>
      <c r="K288" s="23" t="n"/>
      <c r="L288" s="31" t="n"/>
      <c r="M288" s="21" t="n"/>
      <c r="N288" s="21" t="n"/>
      <c r="O288" s="28">
        <f>IF(A288="","",IF(SUMPRODUCT((Plans!$A$3:$A$300=A288)*(Plans!$B$3:$B$300=B288)*(Plans!$C$3:$C$300=C288))=0,"PLAN INCONNU","ok"))</f>
        <v/>
      </c>
    </row>
    <row r="289">
      <c r="A289" s="16" t="n"/>
      <c r="B289" s="21" t="n"/>
      <c r="C289" s="16" t="n"/>
      <c r="D289" s="16" t="n"/>
      <c r="E289" s="21" t="n"/>
      <c r="F289" s="21" t="n"/>
      <c r="G289" s="16" t="n"/>
      <c r="H289" s="21" t="n"/>
      <c r="I289" s="23" t="n"/>
      <c r="J289" s="31" t="n"/>
      <c r="K289" s="23" t="n"/>
      <c r="L289" s="31" t="n"/>
      <c r="M289" s="21" t="n"/>
      <c r="N289" s="21" t="n"/>
      <c r="O289" s="28">
        <f>IF(A289="","",IF(SUMPRODUCT((Plans!$A$3:$A$300=A289)*(Plans!$B$3:$B$300=B289)*(Plans!$C$3:$C$300=C289))=0,"PLAN INCONNU","ok"))</f>
        <v/>
      </c>
    </row>
    <row r="290">
      <c r="A290" s="16" t="n"/>
      <c r="B290" s="21" t="n"/>
      <c r="C290" s="16" t="n"/>
      <c r="D290" s="16" t="n"/>
      <c r="E290" s="21" t="n"/>
      <c r="F290" s="21" t="n"/>
      <c r="G290" s="16" t="n"/>
      <c r="H290" s="21" t="n"/>
      <c r="I290" s="23" t="n"/>
      <c r="J290" s="31" t="n"/>
      <c r="K290" s="23" t="n"/>
      <c r="L290" s="31" t="n"/>
      <c r="M290" s="21" t="n"/>
      <c r="N290" s="21" t="n"/>
      <c r="O290" s="28">
        <f>IF(A290="","",IF(SUMPRODUCT((Plans!$A$3:$A$300=A290)*(Plans!$B$3:$B$300=B290)*(Plans!$C$3:$C$300=C290))=0,"PLAN INCONNU","ok"))</f>
        <v/>
      </c>
    </row>
    <row r="291">
      <c r="A291" s="16" t="n"/>
      <c r="B291" s="21" t="n"/>
      <c r="C291" s="16" t="n"/>
      <c r="D291" s="16" t="n"/>
      <c r="E291" s="21" t="n"/>
      <c r="F291" s="21" t="n"/>
      <c r="G291" s="16" t="n"/>
      <c r="H291" s="21" t="n"/>
      <c r="I291" s="23" t="n"/>
      <c r="J291" s="31" t="n"/>
      <c r="K291" s="23" t="n"/>
      <c r="L291" s="31" t="n"/>
      <c r="M291" s="21" t="n"/>
      <c r="N291" s="21" t="n"/>
      <c r="O291" s="28">
        <f>IF(A291="","",IF(SUMPRODUCT((Plans!$A$3:$A$300=A291)*(Plans!$B$3:$B$300=B291)*(Plans!$C$3:$C$300=C291))=0,"PLAN INCONNU","ok"))</f>
        <v/>
      </c>
    </row>
    <row r="292">
      <c r="A292" s="16" t="n"/>
      <c r="B292" s="21" t="n"/>
      <c r="C292" s="16" t="n"/>
      <c r="D292" s="16" t="n"/>
      <c r="E292" s="21" t="n"/>
      <c r="F292" s="21" t="n"/>
      <c r="G292" s="16" t="n"/>
      <c r="H292" s="21" t="n"/>
      <c r="I292" s="23" t="n"/>
      <c r="J292" s="31" t="n"/>
      <c r="K292" s="23" t="n"/>
      <c r="L292" s="31" t="n"/>
      <c r="M292" s="21" t="n"/>
      <c r="N292" s="21" t="n"/>
      <c r="O292" s="28">
        <f>IF(A292="","",IF(SUMPRODUCT((Plans!$A$3:$A$300=A292)*(Plans!$B$3:$B$300=B292)*(Plans!$C$3:$C$300=C292))=0,"PLAN INCONNU","ok"))</f>
        <v/>
      </c>
    </row>
    <row r="293">
      <c r="A293" s="16" t="n"/>
      <c r="B293" s="21" t="n"/>
      <c r="C293" s="16" t="n"/>
      <c r="D293" s="16" t="n"/>
      <c r="E293" s="21" t="n"/>
      <c r="F293" s="21" t="n"/>
      <c r="G293" s="16" t="n"/>
      <c r="H293" s="21" t="n"/>
      <c r="I293" s="23" t="n"/>
      <c r="J293" s="31" t="n"/>
      <c r="K293" s="23" t="n"/>
      <c r="L293" s="31" t="n"/>
      <c r="M293" s="21" t="n"/>
      <c r="N293" s="21" t="n"/>
      <c r="O293" s="28">
        <f>IF(A293="","",IF(SUMPRODUCT((Plans!$A$3:$A$300=A293)*(Plans!$B$3:$B$300=B293)*(Plans!$C$3:$C$300=C293))=0,"PLAN INCONNU","ok"))</f>
        <v/>
      </c>
    </row>
    <row r="294">
      <c r="A294" s="16" t="n"/>
      <c r="B294" s="21" t="n"/>
      <c r="C294" s="16" t="n"/>
      <c r="D294" s="16" t="n"/>
      <c r="E294" s="21" t="n"/>
      <c r="F294" s="21" t="n"/>
      <c r="G294" s="16" t="n"/>
      <c r="H294" s="21" t="n"/>
      <c r="I294" s="23" t="n"/>
      <c r="J294" s="31" t="n"/>
      <c r="K294" s="23" t="n"/>
      <c r="L294" s="31" t="n"/>
      <c r="M294" s="21" t="n"/>
      <c r="N294" s="21" t="n"/>
      <c r="O294" s="28">
        <f>IF(A294="","",IF(SUMPRODUCT((Plans!$A$3:$A$300=A294)*(Plans!$B$3:$B$300=B294)*(Plans!$C$3:$C$300=C294))=0,"PLAN INCONNU","ok"))</f>
        <v/>
      </c>
    </row>
    <row r="295">
      <c r="A295" s="16" t="n"/>
      <c r="B295" s="21" t="n"/>
      <c r="C295" s="16" t="n"/>
      <c r="D295" s="16" t="n"/>
      <c r="E295" s="21" t="n"/>
      <c r="F295" s="21" t="n"/>
      <c r="G295" s="16" t="n"/>
      <c r="H295" s="21" t="n"/>
      <c r="I295" s="23" t="n"/>
      <c r="J295" s="31" t="n"/>
      <c r="K295" s="23" t="n"/>
      <c r="L295" s="31" t="n"/>
      <c r="M295" s="21" t="n"/>
      <c r="N295" s="21" t="n"/>
      <c r="O295" s="28">
        <f>IF(A295="","",IF(SUMPRODUCT((Plans!$A$3:$A$300=A295)*(Plans!$B$3:$B$300=B295)*(Plans!$C$3:$C$300=C295))=0,"PLAN INCONNU","ok"))</f>
        <v/>
      </c>
    </row>
    <row r="296">
      <c r="A296" s="16" t="n"/>
      <c r="B296" s="21" t="n"/>
      <c r="C296" s="16" t="n"/>
      <c r="D296" s="16" t="n"/>
      <c r="E296" s="21" t="n"/>
      <c r="F296" s="21" t="n"/>
      <c r="G296" s="16" t="n"/>
      <c r="H296" s="21" t="n"/>
      <c r="I296" s="23" t="n"/>
      <c r="J296" s="31" t="n"/>
      <c r="K296" s="23" t="n"/>
      <c r="L296" s="31" t="n"/>
      <c r="M296" s="21" t="n"/>
      <c r="N296" s="21" t="n"/>
      <c r="O296" s="28">
        <f>IF(A296="","",IF(SUMPRODUCT((Plans!$A$3:$A$300=A296)*(Plans!$B$3:$B$300=B296)*(Plans!$C$3:$C$300=C296))=0,"PLAN INCONNU","ok"))</f>
        <v/>
      </c>
    </row>
    <row r="297">
      <c r="A297" s="16" t="n"/>
      <c r="B297" s="21" t="n"/>
      <c r="C297" s="16" t="n"/>
      <c r="D297" s="16" t="n"/>
      <c r="E297" s="21" t="n"/>
      <c r="F297" s="21" t="n"/>
      <c r="G297" s="16" t="n"/>
      <c r="H297" s="21" t="n"/>
      <c r="I297" s="23" t="n"/>
      <c r="J297" s="31" t="n"/>
      <c r="K297" s="23" t="n"/>
      <c r="L297" s="31" t="n"/>
      <c r="M297" s="21" t="n"/>
      <c r="N297" s="21" t="n"/>
      <c r="O297" s="28">
        <f>IF(A297="","",IF(SUMPRODUCT((Plans!$A$3:$A$300=A297)*(Plans!$B$3:$B$300=B297)*(Plans!$C$3:$C$300=C297))=0,"PLAN INCONNU","ok"))</f>
        <v/>
      </c>
    </row>
    <row r="298">
      <c r="A298" s="16" t="n"/>
      <c r="B298" s="21" t="n"/>
      <c r="C298" s="16" t="n"/>
      <c r="D298" s="16" t="n"/>
      <c r="E298" s="21" t="n"/>
      <c r="F298" s="21" t="n"/>
      <c r="G298" s="16" t="n"/>
      <c r="H298" s="21" t="n"/>
      <c r="I298" s="23" t="n"/>
      <c r="J298" s="31" t="n"/>
      <c r="K298" s="23" t="n"/>
      <c r="L298" s="31" t="n"/>
      <c r="M298" s="21" t="n"/>
      <c r="N298" s="21" t="n"/>
      <c r="O298" s="28">
        <f>IF(A298="","",IF(SUMPRODUCT((Plans!$A$3:$A$300=A298)*(Plans!$B$3:$B$300=B298)*(Plans!$C$3:$C$300=C298))=0,"PLAN INCONNU","ok"))</f>
        <v/>
      </c>
    </row>
    <row r="299">
      <c r="A299" s="16" t="n"/>
      <c r="B299" s="21" t="n"/>
      <c r="C299" s="16" t="n"/>
      <c r="D299" s="16" t="n"/>
      <c r="E299" s="21" t="n"/>
      <c r="F299" s="21" t="n"/>
      <c r="G299" s="16" t="n"/>
      <c r="H299" s="21" t="n"/>
      <c r="I299" s="23" t="n"/>
      <c r="J299" s="31" t="n"/>
      <c r="K299" s="23" t="n"/>
      <c r="L299" s="31" t="n"/>
      <c r="M299" s="21" t="n"/>
      <c r="N299" s="21" t="n"/>
      <c r="O299" s="28">
        <f>IF(A299="","",IF(SUMPRODUCT((Plans!$A$3:$A$300=A299)*(Plans!$B$3:$B$300=B299)*(Plans!$C$3:$C$300=C299))=0,"PLAN INCONNU","ok"))</f>
        <v/>
      </c>
    </row>
    <row r="300">
      <c r="A300" s="16" t="n"/>
      <c r="B300" s="21" t="n"/>
      <c r="C300" s="16" t="n"/>
      <c r="D300" s="16" t="n"/>
      <c r="E300" s="21" t="n"/>
      <c r="F300" s="21" t="n"/>
      <c r="G300" s="16" t="n"/>
      <c r="H300" s="21" t="n"/>
      <c r="I300" s="23" t="n"/>
      <c r="J300" s="31" t="n"/>
      <c r="K300" s="23" t="n"/>
      <c r="L300" s="31" t="n"/>
      <c r="M300" s="21" t="n"/>
      <c r="N300" s="21" t="n"/>
      <c r="O300" s="28">
        <f>IF(A300="","",IF(SUMPRODUCT((Plans!$A$3:$A$300=A300)*(Plans!$B$3:$B$300=B300)*(Plans!$C$3:$C$300=C300))=0,"PLAN INCONNU","ok"))</f>
        <v/>
      </c>
    </row>
    <row r="301">
      <c r="A301" s="16" t="n"/>
      <c r="B301" s="21" t="n"/>
      <c r="C301" s="16" t="n"/>
      <c r="D301" s="16" t="n"/>
      <c r="E301" s="21" t="n"/>
      <c r="F301" s="21" t="n"/>
      <c r="G301" s="16" t="n"/>
      <c r="H301" s="21" t="n"/>
      <c r="I301" s="23" t="n"/>
      <c r="J301" s="31" t="n"/>
      <c r="K301" s="23" t="n"/>
      <c r="L301" s="31" t="n"/>
      <c r="M301" s="21" t="n"/>
      <c r="N301" s="21" t="n"/>
      <c r="O301" s="28">
        <f>IF(A301="","",IF(SUMPRODUCT((Plans!$A$3:$A$300=A301)*(Plans!$B$3:$B$300=B301)*(Plans!$C$3:$C$300=C301))=0,"PLAN INCONNU","ok"))</f>
        <v/>
      </c>
    </row>
    <row r="302">
      <c r="A302" s="16" t="n"/>
      <c r="B302" s="21" t="n"/>
      <c r="C302" s="16" t="n"/>
      <c r="D302" s="16" t="n"/>
      <c r="E302" s="21" t="n"/>
      <c r="F302" s="21" t="n"/>
      <c r="G302" s="16" t="n"/>
      <c r="H302" s="21" t="n"/>
      <c r="I302" s="23" t="n"/>
      <c r="J302" s="31" t="n"/>
      <c r="K302" s="23" t="n"/>
      <c r="L302" s="31" t="n"/>
      <c r="M302" s="21" t="n"/>
      <c r="N302" s="21" t="n"/>
      <c r="O302" s="28">
        <f>IF(A302="","",IF(SUMPRODUCT((Plans!$A$3:$A$300=A302)*(Plans!$B$3:$B$300=B302)*(Plans!$C$3:$C$300=C302))=0,"PLAN INCONNU","ok"))</f>
        <v/>
      </c>
    </row>
    <row r="303">
      <c r="A303" s="16" t="n"/>
      <c r="B303" s="21" t="n"/>
      <c r="C303" s="16" t="n"/>
      <c r="D303" s="16" t="n"/>
      <c r="E303" s="21" t="n"/>
      <c r="F303" s="21" t="n"/>
      <c r="G303" s="16" t="n"/>
      <c r="H303" s="21" t="n"/>
      <c r="I303" s="23" t="n"/>
      <c r="J303" s="31" t="n"/>
      <c r="K303" s="23" t="n"/>
      <c r="L303" s="31" t="n"/>
      <c r="M303" s="21" t="n"/>
      <c r="N303" s="21" t="n"/>
      <c r="O303" s="28">
        <f>IF(A303="","",IF(SUMPRODUCT((Plans!$A$3:$A$300=A303)*(Plans!$B$3:$B$300=B303)*(Plans!$C$3:$C$300=C303))=0,"PLAN INCONNU","ok"))</f>
        <v/>
      </c>
    </row>
    <row r="304">
      <c r="A304" s="16" t="n"/>
      <c r="B304" s="21" t="n"/>
      <c r="C304" s="16" t="n"/>
      <c r="D304" s="16" t="n"/>
      <c r="E304" s="21" t="n"/>
      <c r="F304" s="21" t="n"/>
      <c r="G304" s="16" t="n"/>
      <c r="H304" s="21" t="n"/>
      <c r="I304" s="23" t="n"/>
      <c r="J304" s="31" t="n"/>
      <c r="K304" s="23" t="n"/>
      <c r="L304" s="31" t="n"/>
      <c r="M304" s="21" t="n"/>
      <c r="N304" s="21" t="n"/>
      <c r="O304" s="28">
        <f>IF(A304="","",IF(SUMPRODUCT((Plans!$A$3:$A$300=A304)*(Plans!$B$3:$B$300=B304)*(Plans!$C$3:$C$300=C304))=0,"PLAN INCONNU","ok"))</f>
        <v/>
      </c>
    </row>
    <row r="305">
      <c r="A305" s="16" t="n"/>
      <c r="B305" s="21" t="n"/>
      <c r="C305" s="16" t="n"/>
      <c r="D305" s="16" t="n"/>
      <c r="E305" s="21" t="n"/>
      <c r="F305" s="21" t="n"/>
      <c r="G305" s="16" t="n"/>
      <c r="H305" s="21" t="n"/>
      <c r="I305" s="23" t="n"/>
      <c r="J305" s="31" t="n"/>
      <c r="K305" s="23" t="n"/>
      <c r="L305" s="31" t="n"/>
      <c r="M305" s="21" t="n"/>
      <c r="N305" s="21" t="n"/>
      <c r="O305" s="28">
        <f>IF(A305="","",IF(SUMPRODUCT((Plans!$A$3:$A$300=A305)*(Plans!$B$3:$B$300=B305)*(Plans!$C$3:$C$300=C305))=0,"PLAN INCONNU","ok"))</f>
        <v/>
      </c>
    </row>
    <row r="306">
      <c r="A306" s="16" t="n"/>
      <c r="B306" s="21" t="n"/>
      <c r="C306" s="16" t="n"/>
      <c r="D306" s="16" t="n"/>
      <c r="E306" s="21" t="n"/>
      <c r="F306" s="21" t="n"/>
      <c r="G306" s="16" t="n"/>
      <c r="H306" s="21" t="n"/>
      <c r="I306" s="23" t="n"/>
      <c r="J306" s="31" t="n"/>
      <c r="K306" s="23" t="n"/>
      <c r="L306" s="31" t="n"/>
      <c r="M306" s="21" t="n"/>
      <c r="N306" s="21" t="n"/>
      <c r="O306" s="28">
        <f>IF(A306="","",IF(SUMPRODUCT((Plans!$A$3:$A$300=A306)*(Plans!$B$3:$B$300=B306)*(Plans!$C$3:$C$300=C306))=0,"PLAN INCONNU","ok"))</f>
        <v/>
      </c>
    </row>
    <row r="307">
      <c r="A307" s="16" t="n"/>
      <c r="B307" s="21" t="n"/>
      <c r="C307" s="16" t="n"/>
      <c r="D307" s="16" t="n"/>
      <c r="E307" s="21" t="n"/>
      <c r="F307" s="21" t="n"/>
      <c r="G307" s="16" t="n"/>
      <c r="H307" s="21" t="n"/>
      <c r="I307" s="23" t="n"/>
      <c r="J307" s="31" t="n"/>
      <c r="K307" s="23" t="n"/>
      <c r="L307" s="31" t="n"/>
      <c r="M307" s="21" t="n"/>
      <c r="N307" s="21" t="n"/>
      <c r="O307" s="28">
        <f>IF(A307="","",IF(SUMPRODUCT((Plans!$A$3:$A$300=A307)*(Plans!$B$3:$B$300=B307)*(Plans!$C$3:$C$300=C307))=0,"PLAN INCONNU","ok"))</f>
        <v/>
      </c>
    </row>
    <row r="308">
      <c r="A308" s="16" t="n"/>
      <c r="B308" s="21" t="n"/>
      <c r="C308" s="16" t="n"/>
      <c r="D308" s="16" t="n"/>
      <c r="E308" s="21" t="n"/>
      <c r="F308" s="21" t="n"/>
      <c r="G308" s="16" t="n"/>
      <c r="H308" s="21" t="n"/>
      <c r="I308" s="23" t="n"/>
      <c r="J308" s="31" t="n"/>
      <c r="K308" s="23" t="n"/>
      <c r="L308" s="31" t="n"/>
      <c r="M308" s="21" t="n"/>
      <c r="N308" s="21" t="n"/>
      <c r="O308" s="28">
        <f>IF(A308="","",IF(SUMPRODUCT((Plans!$A$3:$A$300=A308)*(Plans!$B$3:$B$300=B308)*(Plans!$C$3:$C$300=C308))=0,"PLAN INCONNU","ok"))</f>
        <v/>
      </c>
    </row>
    <row r="309">
      <c r="A309" s="16" t="n"/>
      <c r="B309" s="21" t="n"/>
      <c r="C309" s="16" t="n"/>
      <c r="D309" s="16" t="n"/>
      <c r="E309" s="21" t="n"/>
      <c r="F309" s="21" t="n"/>
      <c r="G309" s="16" t="n"/>
      <c r="H309" s="21" t="n"/>
      <c r="I309" s="23" t="n"/>
      <c r="J309" s="31" t="n"/>
      <c r="K309" s="23" t="n"/>
      <c r="L309" s="31" t="n"/>
      <c r="M309" s="21" t="n"/>
      <c r="N309" s="21" t="n"/>
      <c r="O309" s="28">
        <f>IF(A309="","",IF(SUMPRODUCT((Plans!$A$3:$A$300=A309)*(Plans!$B$3:$B$300=B309)*(Plans!$C$3:$C$300=C309))=0,"PLAN INCONNU","ok"))</f>
        <v/>
      </c>
    </row>
    <row r="310">
      <c r="A310" s="16" t="n"/>
      <c r="B310" s="21" t="n"/>
      <c r="C310" s="16" t="n"/>
      <c r="D310" s="16" t="n"/>
      <c r="E310" s="21" t="n"/>
      <c r="F310" s="21" t="n"/>
      <c r="G310" s="16" t="n"/>
      <c r="H310" s="21" t="n"/>
      <c r="I310" s="23" t="n"/>
      <c r="J310" s="31" t="n"/>
      <c r="K310" s="23" t="n"/>
      <c r="L310" s="31" t="n"/>
      <c r="M310" s="21" t="n"/>
      <c r="N310" s="21" t="n"/>
      <c r="O310" s="28">
        <f>IF(A310="","",IF(SUMPRODUCT((Plans!$A$3:$A$300=A310)*(Plans!$B$3:$B$300=B310)*(Plans!$C$3:$C$300=C310))=0,"PLAN INCONNU","ok"))</f>
        <v/>
      </c>
    </row>
    <row r="311">
      <c r="A311" s="16" t="n"/>
      <c r="B311" s="21" t="n"/>
      <c r="C311" s="16" t="n"/>
      <c r="D311" s="16" t="n"/>
      <c r="E311" s="21" t="n"/>
      <c r="F311" s="21" t="n"/>
      <c r="G311" s="16" t="n"/>
      <c r="H311" s="21" t="n"/>
      <c r="I311" s="23" t="n"/>
      <c r="J311" s="31" t="n"/>
      <c r="K311" s="23" t="n"/>
      <c r="L311" s="31" t="n"/>
      <c r="M311" s="21" t="n"/>
      <c r="N311" s="21" t="n"/>
      <c r="O311" s="28">
        <f>IF(A311="","",IF(SUMPRODUCT((Plans!$A$3:$A$300=A311)*(Plans!$B$3:$B$300=B311)*(Plans!$C$3:$C$300=C311))=0,"PLAN INCONNU","ok"))</f>
        <v/>
      </c>
    </row>
    <row r="312">
      <c r="A312" s="16" t="n"/>
      <c r="B312" s="21" t="n"/>
      <c r="C312" s="16" t="n"/>
      <c r="D312" s="16" t="n"/>
      <c r="E312" s="21" t="n"/>
      <c r="F312" s="21" t="n"/>
      <c r="G312" s="16" t="n"/>
      <c r="H312" s="21" t="n"/>
      <c r="I312" s="23" t="n"/>
      <c r="J312" s="31" t="n"/>
      <c r="K312" s="23" t="n"/>
      <c r="L312" s="31" t="n"/>
      <c r="M312" s="21" t="n"/>
      <c r="N312" s="21" t="n"/>
      <c r="O312" s="28">
        <f>IF(A312="","",IF(SUMPRODUCT((Plans!$A$3:$A$300=A312)*(Plans!$B$3:$B$300=B312)*(Plans!$C$3:$C$300=C312))=0,"PLAN INCONNU","ok"))</f>
        <v/>
      </c>
    </row>
    <row r="313">
      <c r="A313" s="16" t="n"/>
      <c r="B313" s="21" t="n"/>
      <c r="C313" s="16" t="n"/>
      <c r="D313" s="16" t="n"/>
      <c r="E313" s="21" t="n"/>
      <c r="F313" s="21" t="n"/>
      <c r="G313" s="16" t="n"/>
      <c r="H313" s="21" t="n"/>
      <c r="I313" s="23" t="n"/>
      <c r="J313" s="31" t="n"/>
      <c r="K313" s="23" t="n"/>
      <c r="L313" s="31" t="n"/>
      <c r="M313" s="21" t="n"/>
      <c r="N313" s="21" t="n"/>
      <c r="O313" s="28">
        <f>IF(A313="","",IF(SUMPRODUCT((Plans!$A$3:$A$300=A313)*(Plans!$B$3:$B$300=B313)*(Plans!$C$3:$C$300=C313))=0,"PLAN INCONNU","ok"))</f>
        <v/>
      </c>
    </row>
    <row r="314">
      <c r="A314" s="16" t="n"/>
      <c r="B314" s="21" t="n"/>
      <c r="C314" s="16" t="n"/>
      <c r="D314" s="16" t="n"/>
      <c r="E314" s="21" t="n"/>
      <c r="F314" s="21" t="n"/>
      <c r="G314" s="16" t="n"/>
      <c r="H314" s="21" t="n"/>
      <c r="I314" s="23" t="n"/>
      <c r="J314" s="31" t="n"/>
      <c r="K314" s="23" t="n"/>
      <c r="L314" s="31" t="n"/>
      <c r="M314" s="21" t="n"/>
      <c r="N314" s="21" t="n"/>
      <c r="O314" s="28">
        <f>IF(A314="","",IF(SUMPRODUCT((Plans!$A$3:$A$300=A314)*(Plans!$B$3:$B$300=B314)*(Plans!$C$3:$C$300=C314))=0,"PLAN INCONNU","ok"))</f>
        <v/>
      </c>
    </row>
    <row r="315">
      <c r="A315" s="16" t="n"/>
      <c r="B315" s="21" t="n"/>
      <c r="C315" s="16" t="n"/>
      <c r="D315" s="16" t="n"/>
      <c r="E315" s="21" t="n"/>
      <c r="F315" s="21" t="n"/>
      <c r="G315" s="16" t="n"/>
      <c r="H315" s="21" t="n"/>
      <c r="I315" s="23" t="n"/>
      <c r="J315" s="31" t="n"/>
      <c r="K315" s="23" t="n"/>
      <c r="L315" s="31" t="n"/>
      <c r="M315" s="21" t="n"/>
      <c r="N315" s="21" t="n"/>
      <c r="O315" s="28">
        <f>IF(A315="","",IF(SUMPRODUCT((Plans!$A$3:$A$300=A315)*(Plans!$B$3:$B$300=B315)*(Plans!$C$3:$C$300=C315))=0,"PLAN INCONNU","ok"))</f>
        <v/>
      </c>
    </row>
    <row r="316">
      <c r="A316" s="16" t="n"/>
      <c r="B316" s="21" t="n"/>
      <c r="C316" s="16" t="n"/>
      <c r="D316" s="16" t="n"/>
      <c r="E316" s="21" t="n"/>
      <c r="F316" s="21" t="n"/>
      <c r="G316" s="16" t="n"/>
      <c r="H316" s="21" t="n"/>
      <c r="I316" s="23" t="n"/>
      <c r="J316" s="31" t="n"/>
      <c r="K316" s="23" t="n"/>
      <c r="L316" s="31" t="n"/>
      <c r="M316" s="21" t="n"/>
      <c r="N316" s="21" t="n"/>
      <c r="O316" s="28">
        <f>IF(A316="","",IF(SUMPRODUCT((Plans!$A$3:$A$300=A316)*(Plans!$B$3:$B$300=B316)*(Plans!$C$3:$C$300=C316))=0,"PLAN INCONNU","ok"))</f>
        <v/>
      </c>
    </row>
    <row r="317">
      <c r="A317" s="16" t="n"/>
      <c r="B317" s="21" t="n"/>
      <c r="C317" s="16" t="n"/>
      <c r="D317" s="16" t="n"/>
      <c r="E317" s="21" t="n"/>
      <c r="F317" s="21" t="n"/>
      <c r="G317" s="16" t="n"/>
      <c r="H317" s="21" t="n"/>
      <c r="I317" s="23" t="n"/>
      <c r="J317" s="31" t="n"/>
      <c r="K317" s="23" t="n"/>
      <c r="L317" s="31" t="n"/>
      <c r="M317" s="21" t="n"/>
      <c r="N317" s="21" t="n"/>
      <c r="O317" s="28">
        <f>IF(A317="","",IF(SUMPRODUCT((Plans!$A$3:$A$300=A317)*(Plans!$B$3:$B$300=B317)*(Plans!$C$3:$C$300=C317))=0,"PLAN INCONNU","ok"))</f>
        <v/>
      </c>
    </row>
    <row r="318">
      <c r="A318" s="16" t="n"/>
      <c r="B318" s="21" t="n"/>
      <c r="C318" s="16" t="n"/>
      <c r="D318" s="16" t="n"/>
      <c r="E318" s="21" t="n"/>
      <c r="F318" s="21" t="n"/>
      <c r="G318" s="16" t="n"/>
      <c r="H318" s="21" t="n"/>
      <c r="I318" s="23" t="n"/>
      <c r="J318" s="31" t="n"/>
      <c r="K318" s="23" t="n"/>
      <c r="L318" s="31" t="n"/>
      <c r="M318" s="21" t="n"/>
      <c r="N318" s="21" t="n"/>
      <c r="O318" s="28">
        <f>IF(A318="","",IF(SUMPRODUCT((Plans!$A$3:$A$300=A318)*(Plans!$B$3:$B$300=B318)*(Plans!$C$3:$C$300=C318))=0,"PLAN INCONNU","ok"))</f>
        <v/>
      </c>
    </row>
    <row r="319">
      <c r="A319" s="16" t="n"/>
      <c r="B319" s="21" t="n"/>
      <c r="C319" s="16" t="n"/>
      <c r="D319" s="16" t="n"/>
      <c r="E319" s="21" t="n"/>
      <c r="F319" s="21" t="n"/>
      <c r="G319" s="16" t="n"/>
      <c r="H319" s="21" t="n"/>
      <c r="I319" s="23" t="n"/>
      <c r="J319" s="31" t="n"/>
      <c r="K319" s="23" t="n"/>
      <c r="L319" s="31" t="n"/>
      <c r="M319" s="21" t="n"/>
      <c r="N319" s="21" t="n"/>
      <c r="O319" s="28">
        <f>IF(A319="","",IF(SUMPRODUCT((Plans!$A$3:$A$300=A319)*(Plans!$B$3:$B$300=B319)*(Plans!$C$3:$C$300=C319))=0,"PLAN INCONNU","ok"))</f>
        <v/>
      </c>
    </row>
    <row r="320">
      <c r="A320" s="16" t="n"/>
      <c r="B320" s="21" t="n"/>
      <c r="C320" s="16" t="n"/>
      <c r="D320" s="16" t="n"/>
      <c r="E320" s="21" t="n"/>
      <c r="F320" s="21" t="n"/>
      <c r="G320" s="16" t="n"/>
      <c r="H320" s="21" t="n"/>
      <c r="I320" s="23" t="n"/>
      <c r="J320" s="31" t="n"/>
      <c r="K320" s="23" t="n"/>
      <c r="L320" s="31" t="n"/>
      <c r="M320" s="21" t="n"/>
      <c r="N320" s="21" t="n"/>
      <c r="O320" s="28">
        <f>IF(A320="","",IF(SUMPRODUCT((Plans!$A$3:$A$300=A320)*(Plans!$B$3:$B$300=B320)*(Plans!$C$3:$C$300=C320))=0,"PLAN INCONNU","ok"))</f>
        <v/>
      </c>
    </row>
    <row r="321">
      <c r="A321" s="16" t="n"/>
      <c r="B321" s="21" t="n"/>
      <c r="C321" s="16" t="n"/>
      <c r="D321" s="16" t="n"/>
      <c r="E321" s="21" t="n"/>
      <c r="F321" s="21" t="n"/>
      <c r="G321" s="16" t="n"/>
      <c r="H321" s="21" t="n"/>
      <c r="I321" s="23" t="n"/>
      <c r="J321" s="31" t="n"/>
      <c r="K321" s="23" t="n"/>
      <c r="L321" s="31" t="n"/>
      <c r="M321" s="21" t="n"/>
      <c r="N321" s="21" t="n"/>
      <c r="O321" s="28">
        <f>IF(A321="","",IF(SUMPRODUCT((Plans!$A$3:$A$300=A321)*(Plans!$B$3:$B$300=B321)*(Plans!$C$3:$C$300=C321))=0,"PLAN INCONNU","ok"))</f>
        <v/>
      </c>
    </row>
    <row r="322">
      <c r="A322" s="16" t="n"/>
      <c r="B322" s="21" t="n"/>
      <c r="C322" s="16" t="n"/>
      <c r="D322" s="16" t="n"/>
      <c r="E322" s="21" t="n"/>
      <c r="F322" s="21" t="n"/>
      <c r="G322" s="16" t="n"/>
      <c r="H322" s="21" t="n"/>
      <c r="I322" s="23" t="n"/>
      <c r="J322" s="31" t="n"/>
      <c r="K322" s="23" t="n"/>
      <c r="L322" s="31" t="n"/>
      <c r="M322" s="21" t="n"/>
      <c r="N322" s="21" t="n"/>
      <c r="O322" s="28">
        <f>IF(A322="","",IF(SUMPRODUCT((Plans!$A$3:$A$300=A322)*(Plans!$B$3:$B$300=B322)*(Plans!$C$3:$C$300=C322))=0,"PLAN INCONNU","ok"))</f>
        <v/>
      </c>
    </row>
    <row r="323">
      <c r="A323" s="16" t="n"/>
      <c r="B323" s="21" t="n"/>
      <c r="C323" s="16" t="n"/>
      <c r="D323" s="16" t="n"/>
      <c r="E323" s="21" t="n"/>
      <c r="F323" s="21" t="n"/>
      <c r="G323" s="16" t="n"/>
      <c r="H323" s="21" t="n"/>
      <c r="I323" s="23" t="n"/>
      <c r="J323" s="31" t="n"/>
      <c r="K323" s="23" t="n"/>
      <c r="L323" s="31" t="n"/>
      <c r="M323" s="21" t="n"/>
      <c r="N323" s="21" t="n"/>
      <c r="O323" s="28">
        <f>IF(A323="","",IF(SUMPRODUCT((Plans!$A$3:$A$300=A323)*(Plans!$B$3:$B$300=B323)*(Plans!$C$3:$C$300=C323))=0,"PLAN INCONNU","ok"))</f>
        <v/>
      </c>
    </row>
    <row r="324">
      <c r="A324" s="16" t="n"/>
      <c r="B324" s="21" t="n"/>
      <c r="C324" s="16" t="n"/>
      <c r="D324" s="16" t="n"/>
      <c r="E324" s="21" t="n"/>
      <c r="F324" s="21" t="n"/>
      <c r="G324" s="16" t="n"/>
      <c r="H324" s="21" t="n"/>
      <c r="I324" s="23" t="n"/>
      <c r="J324" s="31" t="n"/>
      <c r="K324" s="23" t="n"/>
      <c r="L324" s="31" t="n"/>
      <c r="M324" s="21" t="n"/>
      <c r="N324" s="21" t="n"/>
      <c r="O324" s="28">
        <f>IF(A324="","",IF(SUMPRODUCT((Plans!$A$3:$A$300=A324)*(Plans!$B$3:$B$300=B324)*(Plans!$C$3:$C$300=C324))=0,"PLAN INCONNU","ok"))</f>
        <v/>
      </c>
    </row>
    <row r="325">
      <c r="A325" s="16" t="n"/>
      <c r="B325" s="21" t="n"/>
      <c r="C325" s="16" t="n"/>
      <c r="D325" s="16" t="n"/>
      <c r="E325" s="21" t="n"/>
      <c r="F325" s="21" t="n"/>
      <c r="G325" s="16" t="n"/>
      <c r="H325" s="21" t="n"/>
      <c r="I325" s="23" t="n"/>
      <c r="J325" s="31" t="n"/>
      <c r="K325" s="23" t="n"/>
      <c r="L325" s="31" t="n"/>
      <c r="M325" s="21" t="n"/>
      <c r="N325" s="21" t="n"/>
      <c r="O325" s="28">
        <f>IF(A325="","",IF(SUMPRODUCT((Plans!$A$3:$A$300=A325)*(Plans!$B$3:$B$300=B325)*(Plans!$C$3:$C$300=C325))=0,"PLAN INCONNU","ok"))</f>
        <v/>
      </c>
    </row>
    <row r="326">
      <c r="A326" s="16" t="n"/>
      <c r="B326" s="21" t="n"/>
      <c r="C326" s="16" t="n"/>
      <c r="D326" s="16" t="n"/>
      <c r="E326" s="21" t="n"/>
      <c r="F326" s="21" t="n"/>
      <c r="G326" s="16" t="n"/>
      <c r="H326" s="21" t="n"/>
      <c r="I326" s="23" t="n"/>
      <c r="J326" s="31" t="n"/>
      <c r="K326" s="23" t="n"/>
      <c r="L326" s="31" t="n"/>
      <c r="M326" s="21" t="n"/>
      <c r="N326" s="21" t="n"/>
      <c r="O326" s="28">
        <f>IF(A326="","",IF(SUMPRODUCT((Plans!$A$3:$A$300=A326)*(Plans!$B$3:$B$300=B326)*(Plans!$C$3:$C$300=C326))=0,"PLAN INCONNU","ok"))</f>
        <v/>
      </c>
    </row>
    <row r="327">
      <c r="A327" s="16" t="n"/>
      <c r="B327" s="21" t="n"/>
      <c r="C327" s="16" t="n"/>
      <c r="D327" s="16" t="n"/>
      <c r="E327" s="21" t="n"/>
      <c r="F327" s="21" t="n"/>
      <c r="G327" s="16" t="n"/>
      <c r="H327" s="21" t="n"/>
      <c r="I327" s="23" t="n"/>
      <c r="J327" s="31" t="n"/>
      <c r="K327" s="23" t="n"/>
      <c r="L327" s="31" t="n"/>
      <c r="M327" s="21" t="n"/>
      <c r="N327" s="21" t="n"/>
      <c r="O327" s="28">
        <f>IF(A327="","",IF(SUMPRODUCT((Plans!$A$3:$A$300=A327)*(Plans!$B$3:$B$300=B327)*(Plans!$C$3:$C$300=C327))=0,"PLAN INCONNU","ok"))</f>
        <v/>
      </c>
    </row>
    <row r="328">
      <c r="A328" s="16" t="n"/>
      <c r="B328" s="21" t="n"/>
      <c r="C328" s="16" t="n"/>
      <c r="D328" s="16" t="n"/>
      <c r="E328" s="21" t="n"/>
      <c r="F328" s="21" t="n"/>
      <c r="G328" s="16" t="n"/>
      <c r="H328" s="21" t="n"/>
      <c r="I328" s="23" t="n"/>
      <c r="J328" s="31" t="n"/>
      <c r="K328" s="23" t="n"/>
      <c r="L328" s="31" t="n"/>
      <c r="M328" s="21" t="n"/>
      <c r="N328" s="21" t="n"/>
      <c r="O328" s="28">
        <f>IF(A328="","",IF(SUMPRODUCT((Plans!$A$3:$A$300=A328)*(Plans!$B$3:$B$300=B328)*(Plans!$C$3:$C$300=C328))=0,"PLAN INCONNU","ok"))</f>
        <v/>
      </c>
    </row>
    <row r="329">
      <c r="A329" s="16" t="n"/>
      <c r="B329" s="21" t="n"/>
      <c r="C329" s="16" t="n"/>
      <c r="D329" s="16" t="n"/>
      <c r="E329" s="21" t="n"/>
      <c r="F329" s="21" t="n"/>
      <c r="G329" s="16" t="n"/>
      <c r="H329" s="21" t="n"/>
      <c r="I329" s="23" t="n"/>
      <c r="J329" s="31" t="n"/>
      <c r="K329" s="23" t="n"/>
      <c r="L329" s="31" t="n"/>
      <c r="M329" s="21" t="n"/>
      <c r="N329" s="21" t="n"/>
      <c r="O329" s="28">
        <f>IF(A329="","",IF(SUMPRODUCT((Plans!$A$3:$A$300=A329)*(Plans!$B$3:$B$300=B329)*(Plans!$C$3:$C$300=C329))=0,"PLAN INCONNU","ok"))</f>
        <v/>
      </c>
    </row>
    <row r="330">
      <c r="A330" s="16" t="n"/>
      <c r="B330" s="21" t="n"/>
      <c r="C330" s="16" t="n"/>
      <c r="D330" s="16" t="n"/>
      <c r="E330" s="21" t="n"/>
      <c r="F330" s="21" t="n"/>
      <c r="G330" s="16" t="n"/>
      <c r="H330" s="21" t="n"/>
      <c r="I330" s="23" t="n"/>
      <c r="J330" s="31" t="n"/>
      <c r="K330" s="23" t="n"/>
      <c r="L330" s="31" t="n"/>
      <c r="M330" s="21" t="n"/>
      <c r="N330" s="21" t="n"/>
      <c r="O330" s="28">
        <f>IF(A330="","",IF(SUMPRODUCT((Plans!$A$3:$A$300=A330)*(Plans!$B$3:$B$300=B330)*(Plans!$C$3:$C$300=C330))=0,"PLAN INCONNU","ok"))</f>
        <v/>
      </c>
    </row>
    <row r="331">
      <c r="A331" s="16" t="n"/>
      <c r="B331" s="21" t="n"/>
      <c r="C331" s="16" t="n"/>
      <c r="D331" s="16" t="n"/>
      <c r="E331" s="21" t="n"/>
      <c r="F331" s="21" t="n"/>
      <c r="G331" s="16" t="n"/>
      <c r="H331" s="21" t="n"/>
      <c r="I331" s="23" t="n"/>
      <c r="J331" s="31" t="n"/>
      <c r="K331" s="23" t="n"/>
      <c r="L331" s="31" t="n"/>
      <c r="M331" s="21" t="n"/>
      <c r="N331" s="21" t="n"/>
      <c r="O331" s="28">
        <f>IF(A331="","",IF(SUMPRODUCT((Plans!$A$3:$A$300=A331)*(Plans!$B$3:$B$300=B331)*(Plans!$C$3:$C$300=C331))=0,"PLAN INCONNU","ok"))</f>
        <v/>
      </c>
    </row>
    <row r="332">
      <c r="A332" s="16" t="n"/>
      <c r="B332" s="21" t="n"/>
      <c r="C332" s="16" t="n"/>
      <c r="D332" s="16" t="n"/>
      <c r="E332" s="21" t="n"/>
      <c r="F332" s="21" t="n"/>
      <c r="G332" s="16" t="n"/>
      <c r="H332" s="21" t="n"/>
      <c r="I332" s="23" t="n"/>
      <c r="J332" s="31" t="n"/>
      <c r="K332" s="23" t="n"/>
      <c r="L332" s="31" t="n"/>
      <c r="M332" s="21" t="n"/>
      <c r="N332" s="21" t="n"/>
      <c r="O332" s="28">
        <f>IF(A332="","",IF(SUMPRODUCT((Plans!$A$3:$A$300=A332)*(Plans!$B$3:$B$300=B332)*(Plans!$C$3:$C$300=C332))=0,"PLAN INCONNU","ok"))</f>
        <v/>
      </c>
    </row>
    <row r="333">
      <c r="A333" s="16" t="n"/>
      <c r="B333" s="21" t="n"/>
      <c r="C333" s="16" t="n"/>
      <c r="D333" s="16" t="n"/>
      <c r="E333" s="21" t="n"/>
      <c r="F333" s="21" t="n"/>
      <c r="G333" s="16" t="n"/>
      <c r="H333" s="21" t="n"/>
      <c r="I333" s="23" t="n"/>
      <c r="J333" s="31" t="n"/>
      <c r="K333" s="23" t="n"/>
      <c r="L333" s="31" t="n"/>
      <c r="M333" s="21" t="n"/>
      <c r="N333" s="21" t="n"/>
      <c r="O333" s="28">
        <f>IF(A333="","",IF(SUMPRODUCT((Plans!$A$3:$A$300=A333)*(Plans!$B$3:$B$300=B333)*(Plans!$C$3:$C$300=C333))=0,"PLAN INCONNU","ok"))</f>
        <v/>
      </c>
    </row>
    <row r="334">
      <c r="A334" s="16" t="n"/>
      <c r="B334" s="21" t="n"/>
      <c r="C334" s="16" t="n"/>
      <c r="D334" s="16" t="n"/>
      <c r="E334" s="21" t="n"/>
      <c r="F334" s="21" t="n"/>
      <c r="G334" s="16" t="n"/>
      <c r="H334" s="21" t="n"/>
      <c r="I334" s="23" t="n"/>
      <c r="J334" s="31" t="n"/>
      <c r="K334" s="23" t="n"/>
      <c r="L334" s="31" t="n"/>
      <c r="M334" s="21" t="n"/>
      <c r="N334" s="21" t="n"/>
      <c r="O334" s="28">
        <f>IF(A334="","",IF(SUMPRODUCT((Plans!$A$3:$A$300=A334)*(Plans!$B$3:$B$300=B334)*(Plans!$C$3:$C$300=C334))=0,"PLAN INCONNU","ok"))</f>
        <v/>
      </c>
    </row>
    <row r="335">
      <c r="A335" s="16" t="n"/>
      <c r="B335" s="21" t="n"/>
      <c r="C335" s="16" t="n"/>
      <c r="D335" s="16" t="n"/>
      <c r="E335" s="21" t="n"/>
      <c r="F335" s="21" t="n"/>
      <c r="G335" s="16" t="n"/>
      <c r="H335" s="21" t="n"/>
      <c r="I335" s="23" t="n"/>
      <c r="J335" s="31" t="n"/>
      <c r="K335" s="23" t="n"/>
      <c r="L335" s="31" t="n"/>
      <c r="M335" s="21" t="n"/>
      <c r="N335" s="21" t="n"/>
      <c r="O335" s="28">
        <f>IF(A335="","",IF(SUMPRODUCT((Plans!$A$3:$A$300=A335)*(Plans!$B$3:$B$300=B335)*(Plans!$C$3:$C$300=C335))=0,"PLAN INCONNU","ok"))</f>
        <v/>
      </c>
    </row>
    <row r="336">
      <c r="A336" s="16" t="n"/>
      <c r="B336" s="21" t="n"/>
      <c r="C336" s="16" t="n"/>
      <c r="D336" s="16" t="n"/>
      <c r="E336" s="21" t="n"/>
      <c r="F336" s="21" t="n"/>
      <c r="G336" s="16" t="n"/>
      <c r="H336" s="21" t="n"/>
      <c r="I336" s="23" t="n"/>
      <c r="J336" s="31" t="n"/>
      <c r="K336" s="23" t="n"/>
      <c r="L336" s="31" t="n"/>
      <c r="M336" s="21" t="n"/>
      <c r="N336" s="21" t="n"/>
      <c r="O336" s="28">
        <f>IF(A336="","",IF(SUMPRODUCT((Plans!$A$3:$A$300=A336)*(Plans!$B$3:$B$300=B336)*(Plans!$C$3:$C$300=C336))=0,"PLAN INCONNU","ok"))</f>
        <v/>
      </c>
    </row>
    <row r="337">
      <c r="A337" s="16" t="n"/>
      <c r="B337" s="21" t="n"/>
      <c r="C337" s="16" t="n"/>
      <c r="D337" s="16" t="n"/>
      <c r="E337" s="21" t="n"/>
      <c r="F337" s="21" t="n"/>
      <c r="G337" s="16" t="n"/>
      <c r="H337" s="21" t="n"/>
      <c r="I337" s="23" t="n"/>
      <c r="J337" s="31" t="n"/>
      <c r="K337" s="23" t="n"/>
      <c r="L337" s="31" t="n"/>
      <c r="M337" s="21" t="n"/>
      <c r="N337" s="21" t="n"/>
      <c r="O337" s="28">
        <f>IF(A337="","",IF(SUMPRODUCT((Plans!$A$3:$A$300=A337)*(Plans!$B$3:$B$300=B337)*(Plans!$C$3:$C$300=C337))=0,"PLAN INCONNU","ok"))</f>
        <v/>
      </c>
    </row>
    <row r="338">
      <c r="A338" s="16" t="n"/>
      <c r="B338" s="21" t="n"/>
      <c r="C338" s="16" t="n"/>
      <c r="D338" s="16" t="n"/>
      <c r="E338" s="21" t="n"/>
      <c r="F338" s="21" t="n"/>
      <c r="G338" s="16" t="n"/>
      <c r="H338" s="21" t="n"/>
      <c r="I338" s="23" t="n"/>
      <c r="J338" s="31" t="n"/>
      <c r="K338" s="23" t="n"/>
      <c r="L338" s="31" t="n"/>
      <c r="M338" s="21" t="n"/>
      <c r="N338" s="21" t="n"/>
      <c r="O338" s="28">
        <f>IF(A338="","",IF(SUMPRODUCT((Plans!$A$3:$A$300=A338)*(Plans!$B$3:$B$300=B338)*(Plans!$C$3:$C$300=C338))=0,"PLAN INCONNU","ok"))</f>
        <v/>
      </c>
    </row>
    <row r="339">
      <c r="A339" s="16" t="n"/>
      <c r="B339" s="21" t="n"/>
      <c r="C339" s="16" t="n"/>
      <c r="D339" s="16" t="n"/>
      <c r="E339" s="21" t="n"/>
      <c r="F339" s="21" t="n"/>
      <c r="G339" s="16" t="n"/>
      <c r="H339" s="21" t="n"/>
      <c r="I339" s="23" t="n"/>
      <c r="J339" s="31" t="n"/>
      <c r="K339" s="23" t="n"/>
      <c r="L339" s="31" t="n"/>
      <c r="M339" s="21" t="n"/>
      <c r="N339" s="21" t="n"/>
      <c r="O339" s="28">
        <f>IF(A339="","",IF(SUMPRODUCT((Plans!$A$3:$A$300=A339)*(Plans!$B$3:$B$300=B339)*(Plans!$C$3:$C$300=C339))=0,"PLAN INCONNU","ok"))</f>
        <v/>
      </c>
    </row>
    <row r="340">
      <c r="A340" s="16" t="n"/>
      <c r="B340" s="21" t="n"/>
      <c r="C340" s="16" t="n"/>
      <c r="D340" s="16" t="n"/>
      <c r="E340" s="21" t="n"/>
      <c r="F340" s="21" t="n"/>
      <c r="G340" s="16" t="n"/>
      <c r="H340" s="21" t="n"/>
      <c r="I340" s="23" t="n"/>
      <c r="J340" s="31" t="n"/>
      <c r="K340" s="23" t="n"/>
      <c r="L340" s="31" t="n"/>
      <c r="M340" s="21" t="n"/>
      <c r="N340" s="21" t="n"/>
      <c r="O340" s="28">
        <f>IF(A340="","",IF(SUMPRODUCT((Plans!$A$3:$A$300=A340)*(Plans!$B$3:$B$300=B340)*(Plans!$C$3:$C$300=C340))=0,"PLAN INCONNU","ok"))</f>
        <v/>
      </c>
    </row>
    <row r="341">
      <c r="A341" s="16" t="n"/>
      <c r="B341" s="21" t="n"/>
      <c r="C341" s="16" t="n"/>
      <c r="D341" s="16" t="n"/>
      <c r="E341" s="21" t="n"/>
      <c r="F341" s="21" t="n"/>
      <c r="G341" s="16" t="n"/>
      <c r="H341" s="21" t="n"/>
      <c r="I341" s="23" t="n"/>
      <c r="J341" s="31" t="n"/>
      <c r="K341" s="23" t="n"/>
      <c r="L341" s="31" t="n"/>
      <c r="M341" s="21" t="n"/>
      <c r="N341" s="21" t="n"/>
      <c r="O341" s="28">
        <f>IF(A341="","",IF(SUMPRODUCT((Plans!$A$3:$A$300=A341)*(Plans!$B$3:$B$300=B341)*(Plans!$C$3:$C$300=C341))=0,"PLAN INCONNU","ok"))</f>
        <v/>
      </c>
    </row>
    <row r="342">
      <c r="A342" s="16" t="n"/>
      <c r="B342" s="21" t="n"/>
      <c r="C342" s="16" t="n"/>
      <c r="D342" s="16" t="n"/>
      <c r="E342" s="21" t="n"/>
      <c r="F342" s="21" t="n"/>
      <c r="G342" s="16" t="n"/>
      <c r="H342" s="21" t="n"/>
      <c r="I342" s="23" t="n"/>
      <c r="J342" s="31" t="n"/>
      <c r="K342" s="23" t="n"/>
      <c r="L342" s="31" t="n"/>
      <c r="M342" s="21" t="n"/>
      <c r="N342" s="21" t="n"/>
      <c r="O342" s="28">
        <f>IF(A342="","",IF(SUMPRODUCT((Plans!$A$3:$A$300=A342)*(Plans!$B$3:$B$300=B342)*(Plans!$C$3:$C$300=C342))=0,"PLAN INCONNU","ok"))</f>
        <v/>
      </c>
    </row>
    <row r="343">
      <c r="A343" s="16" t="n"/>
      <c r="B343" s="21" t="n"/>
      <c r="C343" s="16" t="n"/>
      <c r="D343" s="16" t="n"/>
      <c r="E343" s="21" t="n"/>
      <c r="F343" s="21" t="n"/>
      <c r="G343" s="16" t="n"/>
      <c r="H343" s="21" t="n"/>
      <c r="I343" s="23" t="n"/>
      <c r="J343" s="31" t="n"/>
      <c r="K343" s="23" t="n"/>
      <c r="L343" s="31" t="n"/>
      <c r="M343" s="21" t="n"/>
      <c r="N343" s="21" t="n"/>
      <c r="O343" s="28">
        <f>IF(A343="","",IF(SUMPRODUCT((Plans!$A$3:$A$300=A343)*(Plans!$B$3:$B$300=B343)*(Plans!$C$3:$C$300=C343))=0,"PLAN INCONNU","ok"))</f>
        <v/>
      </c>
    </row>
    <row r="344">
      <c r="A344" s="16" t="n"/>
      <c r="B344" s="21" t="n"/>
      <c r="C344" s="16" t="n"/>
      <c r="D344" s="16" t="n"/>
      <c r="E344" s="21" t="n"/>
      <c r="F344" s="21" t="n"/>
      <c r="G344" s="16" t="n"/>
      <c r="H344" s="21" t="n"/>
      <c r="I344" s="23" t="n"/>
      <c r="J344" s="31" t="n"/>
      <c r="K344" s="23" t="n"/>
      <c r="L344" s="31" t="n"/>
      <c r="M344" s="21" t="n"/>
      <c r="N344" s="21" t="n"/>
      <c r="O344" s="28">
        <f>IF(A344="","",IF(SUMPRODUCT((Plans!$A$3:$A$300=A344)*(Plans!$B$3:$B$300=B344)*(Plans!$C$3:$C$300=C344))=0,"PLAN INCONNU","ok"))</f>
        <v/>
      </c>
    </row>
    <row r="345">
      <c r="A345" s="16" t="n"/>
      <c r="B345" s="21" t="n"/>
      <c r="C345" s="16" t="n"/>
      <c r="D345" s="16" t="n"/>
      <c r="E345" s="21" t="n"/>
      <c r="F345" s="21" t="n"/>
      <c r="G345" s="16" t="n"/>
      <c r="H345" s="21" t="n"/>
      <c r="I345" s="23" t="n"/>
      <c r="J345" s="31" t="n"/>
      <c r="K345" s="23" t="n"/>
      <c r="L345" s="31" t="n"/>
      <c r="M345" s="21" t="n"/>
      <c r="N345" s="21" t="n"/>
      <c r="O345" s="28">
        <f>IF(A345="","",IF(SUMPRODUCT((Plans!$A$3:$A$300=A345)*(Plans!$B$3:$B$300=B345)*(Plans!$C$3:$C$300=C345))=0,"PLAN INCONNU","ok"))</f>
        <v/>
      </c>
    </row>
    <row r="346">
      <c r="A346" s="16" t="n"/>
      <c r="B346" s="21" t="n"/>
      <c r="C346" s="16" t="n"/>
      <c r="D346" s="16" t="n"/>
      <c r="E346" s="21" t="n"/>
      <c r="F346" s="21" t="n"/>
      <c r="G346" s="16" t="n"/>
      <c r="H346" s="21" t="n"/>
      <c r="I346" s="23" t="n"/>
      <c r="J346" s="31" t="n"/>
      <c r="K346" s="23" t="n"/>
      <c r="L346" s="31" t="n"/>
      <c r="M346" s="21" t="n"/>
      <c r="N346" s="21" t="n"/>
      <c r="O346" s="28">
        <f>IF(A346="","",IF(SUMPRODUCT((Plans!$A$3:$A$300=A346)*(Plans!$B$3:$B$300=B346)*(Plans!$C$3:$C$300=C346))=0,"PLAN INCONNU","ok"))</f>
        <v/>
      </c>
    </row>
    <row r="347">
      <c r="A347" s="16" t="n"/>
      <c r="B347" s="21" t="n"/>
      <c r="C347" s="16" t="n"/>
      <c r="D347" s="16" t="n"/>
      <c r="E347" s="21" t="n"/>
      <c r="F347" s="21" t="n"/>
      <c r="G347" s="16" t="n"/>
      <c r="H347" s="21" t="n"/>
      <c r="I347" s="23" t="n"/>
      <c r="J347" s="31" t="n"/>
      <c r="K347" s="23" t="n"/>
      <c r="L347" s="31" t="n"/>
      <c r="M347" s="21" t="n"/>
      <c r="N347" s="21" t="n"/>
      <c r="O347" s="28">
        <f>IF(A347="","",IF(SUMPRODUCT((Plans!$A$3:$A$300=A347)*(Plans!$B$3:$B$300=B347)*(Plans!$C$3:$C$300=C347))=0,"PLAN INCONNU","ok"))</f>
        <v/>
      </c>
    </row>
    <row r="348">
      <c r="A348" s="16" t="n"/>
      <c r="B348" s="21" t="n"/>
      <c r="C348" s="16" t="n"/>
      <c r="D348" s="16" t="n"/>
      <c r="E348" s="21" t="n"/>
      <c r="F348" s="21" t="n"/>
      <c r="G348" s="16" t="n"/>
      <c r="H348" s="21" t="n"/>
      <c r="I348" s="23" t="n"/>
      <c r="J348" s="31" t="n"/>
      <c r="K348" s="23" t="n"/>
      <c r="L348" s="31" t="n"/>
      <c r="M348" s="21" t="n"/>
      <c r="N348" s="21" t="n"/>
      <c r="O348" s="28">
        <f>IF(A348="","",IF(SUMPRODUCT((Plans!$A$3:$A$300=A348)*(Plans!$B$3:$B$300=B348)*(Plans!$C$3:$C$300=C348))=0,"PLAN INCONNU","ok"))</f>
        <v/>
      </c>
    </row>
    <row r="349">
      <c r="A349" s="16" t="n"/>
      <c r="B349" s="21" t="n"/>
      <c r="C349" s="16" t="n"/>
      <c r="D349" s="16" t="n"/>
      <c r="E349" s="21" t="n"/>
      <c r="F349" s="21" t="n"/>
      <c r="G349" s="16" t="n"/>
      <c r="H349" s="21" t="n"/>
      <c r="I349" s="23" t="n"/>
      <c r="J349" s="31" t="n"/>
      <c r="K349" s="23" t="n"/>
      <c r="L349" s="31" t="n"/>
      <c r="M349" s="21" t="n"/>
      <c r="N349" s="21" t="n"/>
      <c r="O349" s="28">
        <f>IF(A349="","",IF(SUMPRODUCT((Plans!$A$3:$A$300=A349)*(Plans!$B$3:$B$300=B349)*(Plans!$C$3:$C$300=C349))=0,"PLAN INCONNU","ok"))</f>
        <v/>
      </c>
    </row>
    <row r="350">
      <c r="A350" s="16" t="n"/>
      <c r="B350" s="21" t="n"/>
      <c r="C350" s="16" t="n"/>
      <c r="D350" s="16" t="n"/>
      <c r="E350" s="21" t="n"/>
      <c r="F350" s="21" t="n"/>
      <c r="G350" s="16" t="n"/>
      <c r="H350" s="21" t="n"/>
      <c r="I350" s="23" t="n"/>
      <c r="J350" s="31" t="n"/>
      <c r="K350" s="23" t="n"/>
      <c r="L350" s="31" t="n"/>
      <c r="M350" s="21" t="n"/>
      <c r="N350" s="21" t="n"/>
      <c r="O350" s="28">
        <f>IF(A350="","",IF(SUMPRODUCT((Plans!$A$3:$A$300=A350)*(Plans!$B$3:$B$300=B350)*(Plans!$C$3:$C$300=C350))=0,"PLAN INCONNU","ok"))</f>
        <v/>
      </c>
    </row>
    <row r="351">
      <c r="A351" s="16" t="n"/>
      <c r="B351" s="21" t="n"/>
      <c r="C351" s="16" t="n"/>
      <c r="D351" s="16" t="n"/>
      <c r="E351" s="21" t="n"/>
      <c r="F351" s="21" t="n"/>
      <c r="G351" s="16" t="n"/>
      <c r="H351" s="21" t="n"/>
      <c r="I351" s="23" t="n"/>
      <c r="J351" s="31" t="n"/>
      <c r="K351" s="23" t="n"/>
      <c r="L351" s="31" t="n"/>
      <c r="M351" s="21" t="n"/>
      <c r="N351" s="21" t="n"/>
      <c r="O351" s="28">
        <f>IF(A351="","",IF(SUMPRODUCT((Plans!$A$3:$A$300=A351)*(Plans!$B$3:$B$300=B351)*(Plans!$C$3:$C$300=C351))=0,"PLAN INCONNU","ok"))</f>
        <v/>
      </c>
    </row>
    <row r="352">
      <c r="A352" s="16" t="n"/>
      <c r="B352" s="21" t="n"/>
      <c r="C352" s="16" t="n"/>
      <c r="D352" s="16" t="n"/>
      <c r="E352" s="21" t="n"/>
      <c r="F352" s="21" t="n"/>
      <c r="G352" s="16" t="n"/>
      <c r="H352" s="21" t="n"/>
      <c r="I352" s="23" t="n"/>
      <c r="J352" s="31" t="n"/>
      <c r="K352" s="23" t="n"/>
      <c r="L352" s="31" t="n"/>
      <c r="M352" s="21" t="n"/>
      <c r="N352" s="21" t="n"/>
      <c r="O352" s="28">
        <f>IF(A352="","",IF(SUMPRODUCT((Plans!$A$3:$A$300=A352)*(Plans!$B$3:$B$300=B352)*(Plans!$C$3:$C$300=C352))=0,"PLAN INCONNU","ok"))</f>
        <v/>
      </c>
    </row>
    <row r="353">
      <c r="A353" s="16" t="n"/>
      <c r="B353" s="21" t="n"/>
      <c r="C353" s="16" t="n"/>
      <c r="D353" s="16" t="n"/>
      <c r="E353" s="21" t="n"/>
      <c r="F353" s="21" t="n"/>
      <c r="G353" s="16" t="n"/>
      <c r="H353" s="21" t="n"/>
      <c r="I353" s="23" t="n"/>
      <c r="J353" s="31" t="n"/>
      <c r="K353" s="23" t="n"/>
      <c r="L353" s="31" t="n"/>
      <c r="M353" s="21" t="n"/>
      <c r="N353" s="21" t="n"/>
      <c r="O353" s="28">
        <f>IF(A353="","",IF(SUMPRODUCT((Plans!$A$3:$A$300=A353)*(Plans!$B$3:$B$300=B353)*(Plans!$C$3:$C$300=C353))=0,"PLAN INCONNU","ok"))</f>
        <v/>
      </c>
    </row>
    <row r="354">
      <c r="A354" s="16" t="n"/>
      <c r="B354" s="21" t="n"/>
      <c r="C354" s="16" t="n"/>
      <c r="D354" s="16" t="n"/>
      <c r="E354" s="21" t="n"/>
      <c r="F354" s="21" t="n"/>
      <c r="G354" s="16" t="n"/>
      <c r="H354" s="21" t="n"/>
      <c r="I354" s="23" t="n"/>
      <c r="J354" s="31" t="n"/>
      <c r="K354" s="23" t="n"/>
      <c r="L354" s="31" t="n"/>
      <c r="M354" s="21" t="n"/>
      <c r="N354" s="21" t="n"/>
      <c r="O354" s="28">
        <f>IF(A354="","",IF(SUMPRODUCT((Plans!$A$3:$A$300=A354)*(Plans!$B$3:$B$300=B354)*(Plans!$C$3:$C$300=C354))=0,"PLAN INCONNU","ok"))</f>
        <v/>
      </c>
    </row>
    <row r="355">
      <c r="A355" s="16" t="n"/>
      <c r="B355" s="21" t="n"/>
      <c r="C355" s="16" t="n"/>
      <c r="D355" s="16" t="n"/>
      <c r="E355" s="21" t="n"/>
      <c r="F355" s="21" t="n"/>
      <c r="G355" s="16" t="n"/>
      <c r="H355" s="21" t="n"/>
      <c r="I355" s="23" t="n"/>
      <c r="J355" s="31" t="n"/>
      <c r="K355" s="23" t="n"/>
      <c r="L355" s="31" t="n"/>
      <c r="M355" s="21" t="n"/>
      <c r="N355" s="21" t="n"/>
      <c r="O355" s="28">
        <f>IF(A355="","",IF(SUMPRODUCT((Plans!$A$3:$A$300=A355)*(Plans!$B$3:$B$300=B355)*(Plans!$C$3:$C$300=C355))=0,"PLAN INCONNU","ok"))</f>
        <v/>
      </c>
    </row>
    <row r="356">
      <c r="A356" s="16" t="n"/>
      <c r="B356" s="21" t="n"/>
      <c r="C356" s="16" t="n"/>
      <c r="D356" s="16" t="n"/>
      <c r="E356" s="21" t="n"/>
      <c r="F356" s="21" t="n"/>
      <c r="G356" s="16" t="n"/>
      <c r="H356" s="21" t="n"/>
      <c r="I356" s="23" t="n"/>
      <c r="J356" s="31" t="n"/>
      <c r="K356" s="23" t="n"/>
      <c r="L356" s="31" t="n"/>
      <c r="M356" s="21" t="n"/>
      <c r="N356" s="21" t="n"/>
      <c r="O356" s="28">
        <f>IF(A356="","",IF(SUMPRODUCT((Plans!$A$3:$A$300=A356)*(Plans!$B$3:$B$300=B356)*(Plans!$C$3:$C$300=C356))=0,"PLAN INCONNU","ok"))</f>
        <v/>
      </c>
    </row>
    <row r="357">
      <c r="A357" s="16" t="n"/>
      <c r="B357" s="21" t="n"/>
      <c r="C357" s="16" t="n"/>
      <c r="D357" s="16" t="n"/>
      <c r="E357" s="21" t="n"/>
      <c r="F357" s="21" t="n"/>
      <c r="G357" s="16" t="n"/>
      <c r="H357" s="21" t="n"/>
      <c r="I357" s="23" t="n"/>
      <c r="J357" s="31" t="n"/>
      <c r="K357" s="23" t="n"/>
      <c r="L357" s="31" t="n"/>
      <c r="M357" s="21" t="n"/>
      <c r="N357" s="21" t="n"/>
      <c r="O357" s="28">
        <f>IF(A357="","",IF(SUMPRODUCT((Plans!$A$3:$A$300=A357)*(Plans!$B$3:$B$300=B357)*(Plans!$C$3:$C$300=C357))=0,"PLAN INCONNU","ok"))</f>
        <v/>
      </c>
    </row>
    <row r="358">
      <c r="A358" s="16" t="n"/>
      <c r="B358" s="21" t="n"/>
      <c r="C358" s="16" t="n"/>
      <c r="D358" s="16" t="n"/>
      <c r="E358" s="21" t="n"/>
      <c r="F358" s="21" t="n"/>
      <c r="G358" s="16" t="n"/>
      <c r="H358" s="21" t="n"/>
      <c r="I358" s="23" t="n"/>
      <c r="J358" s="31" t="n"/>
      <c r="K358" s="23" t="n"/>
      <c r="L358" s="31" t="n"/>
      <c r="M358" s="21" t="n"/>
      <c r="N358" s="21" t="n"/>
      <c r="O358" s="28">
        <f>IF(A358="","",IF(SUMPRODUCT((Plans!$A$3:$A$300=A358)*(Plans!$B$3:$B$300=B358)*(Plans!$C$3:$C$300=C358))=0,"PLAN INCONNU","ok"))</f>
        <v/>
      </c>
    </row>
    <row r="359">
      <c r="A359" s="16" t="n"/>
      <c r="B359" s="21" t="n"/>
      <c r="C359" s="16" t="n"/>
      <c r="D359" s="16" t="n"/>
      <c r="E359" s="21" t="n"/>
      <c r="F359" s="21" t="n"/>
      <c r="G359" s="16" t="n"/>
      <c r="H359" s="21" t="n"/>
      <c r="I359" s="23" t="n"/>
      <c r="J359" s="31" t="n"/>
      <c r="K359" s="23" t="n"/>
      <c r="L359" s="31" t="n"/>
      <c r="M359" s="21" t="n"/>
      <c r="N359" s="21" t="n"/>
      <c r="O359" s="28">
        <f>IF(A359="","",IF(SUMPRODUCT((Plans!$A$3:$A$300=A359)*(Plans!$B$3:$B$300=B359)*(Plans!$C$3:$C$300=C359))=0,"PLAN INCONNU","ok"))</f>
        <v/>
      </c>
    </row>
    <row r="360">
      <c r="A360" s="16" t="n"/>
      <c r="B360" s="21" t="n"/>
      <c r="C360" s="16" t="n"/>
      <c r="D360" s="16" t="n"/>
      <c r="E360" s="21" t="n"/>
      <c r="F360" s="21" t="n"/>
      <c r="G360" s="16" t="n"/>
      <c r="H360" s="21" t="n"/>
      <c r="I360" s="23" t="n"/>
      <c r="J360" s="31" t="n"/>
      <c r="K360" s="23" t="n"/>
      <c r="L360" s="31" t="n"/>
      <c r="M360" s="21" t="n"/>
      <c r="N360" s="21" t="n"/>
      <c r="O360" s="28">
        <f>IF(A360="","",IF(SUMPRODUCT((Plans!$A$3:$A$300=A360)*(Plans!$B$3:$B$300=B360)*(Plans!$C$3:$C$300=C360))=0,"PLAN INCONNU","ok"))</f>
        <v/>
      </c>
    </row>
    <row r="361">
      <c r="A361" s="16" t="n"/>
      <c r="B361" s="21" t="n"/>
      <c r="C361" s="16" t="n"/>
      <c r="D361" s="16" t="n"/>
      <c r="E361" s="21" t="n"/>
      <c r="F361" s="21" t="n"/>
      <c r="G361" s="16" t="n"/>
      <c r="H361" s="21" t="n"/>
      <c r="I361" s="23" t="n"/>
      <c r="J361" s="31" t="n"/>
      <c r="K361" s="23" t="n"/>
      <c r="L361" s="31" t="n"/>
      <c r="M361" s="21" t="n"/>
      <c r="N361" s="21" t="n"/>
      <c r="O361" s="28">
        <f>IF(A361="","",IF(SUMPRODUCT((Plans!$A$3:$A$300=A361)*(Plans!$B$3:$B$300=B361)*(Plans!$C$3:$C$300=C361))=0,"PLAN INCONNU","ok"))</f>
        <v/>
      </c>
    </row>
    <row r="362">
      <c r="A362" s="16" t="n"/>
      <c r="B362" s="21" t="n"/>
      <c r="C362" s="16" t="n"/>
      <c r="D362" s="16" t="n"/>
      <c r="E362" s="21" t="n"/>
      <c r="F362" s="21" t="n"/>
      <c r="G362" s="16" t="n"/>
      <c r="H362" s="21" t="n"/>
      <c r="I362" s="23" t="n"/>
      <c r="J362" s="31" t="n"/>
      <c r="K362" s="23" t="n"/>
      <c r="L362" s="31" t="n"/>
      <c r="M362" s="21" t="n"/>
      <c r="N362" s="21" t="n"/>
      <c r="O362" s="28">
        <f>IF(A362="","",IF(SUMPRODUCT((Plans!$A$3:$A$300=A362)*(Plans!$B$3:$B$300=B362)*(Plans!$C$3:$C$300=C362))=0,"PLAN INCONNU","ok"))</f>
        <v/>
      </c>
    </row>
    <row r="363">
      <c r="A363" s="16" t="n"/>
      <c r="B363" s="21" t="n"/>
      <c r="C363" s="16" t="n"/>
      <c r="D363" s="16" t="n"/>
      <c r="E363" s="21" t="n"/>
      <c r="F363" s="21" t="n"/>
      <c r="G363" s="16" t="n"/>
      <c r="H363" s="21" t="n"/>
      <c r="I363" s="23" t="n"/>
      <c r="J363" s="31" t="n"/>
      <c r="K363" s="23" t="n"/>
      <c r="L363" s="31" t="n"/>
      <c r="M363" s="21" t="n"/>
      <c r="N363" s="21" t="n"/>
      <c r="O363" s="28">
        <f>IF(A363="","",IF(SUMPRODUCT((Plans!$A$3:$A$300=A363)*(Plans!$B$3:$B$300=B363)*(Plans!$C$3:$C$300=C363))=0,"PLAN INCONNU","ok"))</f>
        <v/>
      </c>
    </row>
    <row r="364">
      <c r="A364" s="16" t="n"/>
      <c r="B364" s="21" t="n"/>
      <c r="C364" s="16" t="n"/>
      <c r="D364" s="16" t="n"/>
      <c r="E364" s="21" t="n"/>
      <c r="F364" s="21" t="n"/>
      <c r="G364" s="16" t="n"/>
      <c r="H364" s="21" t="n"/>
      <c r="I364" s="23" t="n"/>
      <c r="J364" s="31" t="n"/>
      <c r="K364" s="23" t="n"/>
      <c r="L364" s="31" t="n"/>
      <c r="M364" s="21" t="n"/>
      <c r="N364" s="21" t="n"/>
      <c r="O364" s="28">
        <f>IF(A364="","",IF(SUMPRODUCT((Plans!$A$3:$A$300=A364)*(Plans!$B$3:$B$300=B364)*(Plans!$C$3:$C$300=C364))=0,"PLAN INCONNU","ok"))</f>
        <v/>
      </c>
    </row>
    <row r="365">
      <c r="A365" s="16" t="n"/>
      <c r="B365" s="21" t="n"/>
      <c r="C365" s="16" t="n"/>
      <c r="D365" s="16" t="n"/>
      <c r="E365" s="21" t="n"/>
      <c r="F365" s="21" t="n"/>
      <c r="G365" s="16" t="n"/>
      <c r="H365" s="21" t="n"/>
      <c r="I365" s="23" t="n"/>
      <c r="J365" s="31" t="n"/>
      <c r="K365" s="23" t="n"/>
      <c r="L365" s="31" t="n"/>
      <c r="M365" s="21" t="n"/>
      <c r="N365" s="21" t="n"/>
      <c r="O365" s="28">
        <f>IF(A365="","",IF(SUMPRODUCT((Plans!$A$3:$A$300=A365)*(Plans!$B$3:$B$300=B365)*(Plans!$C$3:$C$300=C365))=0,"PLAN INCONNU","ok"))</f>
        <v/>
      </c>
    </row>
    <row r="366">
      <c r="A366" s="16" t="n"/>
      <c r="B366" s="21" t="n"/>
      <c r="C366" s="16" t="n"/>
      <c r="D366" s="16" t="n"/>
      <c r="E366" s="21" t="n"/>
      <c r="F366" s="21" t="n"/>
      <c r="G366" s="16" t="n"/>
      <c r="H366" s="21" t="n"/>
      <c r="I366" s="23" t="n"/>
      <c r="J366" s="31" t="n"/>
      <c r="K366" s="23" t="n"/>
      <c r="L366" s="31" t="n"/>
      <c r="M366" s="21" t="n"/>
      <c r="N366" s="21" t="n"/>
      <c r="O366" s="28">
        <f>IF(A366="","",IF(SUMPRODUCT((Plans!$A$3:$A$300=A366)*(Plans!$B$3:$B$300=B366)*(Plans!$C$3:$C$300=C366))=0,"PLAN INCONNU","ok"))</f>
        <v/>
      </c>
    </row>
    <row r="367">
      <c r="A367" s="16" t="n"/>
      <c r="B367" s="21" t="n"/>
      <c r="C367" s="16" t="n"/>
      <c r="D367" s="16" t="n"/>
      <c r="E367" s="21" t="n"/>
      <c r="F367" s="21" t="n"/>
      <c r="G367" s="16" t="n"/>
      <c r="H367" s="21" t="n"/>
      <c r="I367" s="23" t="n"/>
      <c r="J367" s="31" t="n"/>
      <c r="K367" s="23" t="n"/>
      <c r="L367" s="31" t="n"/>
      <c r="M367" s="21" t="n"/>
      <c r="N367" s="21" t="n"/>
      <c r="O367" s="28">
        <f>IF(A367="","",IF(SUMPRODUCT((Plans!$A$3:$A$300=A367)*(Plans!$B$3:$B$300=B367)*(Plans!$C$3:$C$300=C367))=0,"PLAN INCONNU","ok"))</f>
        <v/>
      </c>
    </row>
    <row r="368">
      <c r="A368" s="16" t="n"/>
      <c r="B368" s="21" t="n"/>
      <c r="C368" s="16" t="n"/>
      <c r="D368" s="16" t="n"/>
      <c r="E368" s="21" t="n"/>
      <c r="F368" s="21" t="n"/>
      <c r="G368" s="16" t="n"/>
      <c r="H368" s="21" t="n"/>
      <c r="I368" s="23" t="n"/>
      <c r="J368" s="31" t="n"/>
      <c r="K368" s="23" t="n"/>
      <c r="L368" s="31" t="n"/>
      <c r="M368" s="21" t="n"/>
      <c r="N368" s="21" t="n"/>
      <c r="O368" s="28">
        <f>IF(A368="","",IF(SUMPRODUCT((Plans!$A$3:$A$300=A368)*(Plans!$B$3:$B$300=B368)*(Plans!$C$3:$C$300=C368))=0,"PLAN INCONNU","ok"))</f>
        <v/>
      </c>
    </row>
    <row r="369">
      <c r="A369" s="16" t="n"/>
      <c r="B369" s="21" t="n"/>
      <c r="C369" s="16" t="n"/>
      <c r="D369" s="16" t="n"/>
      <c r="E369" s="21" t="n"/>
      <c r="F369" s="21" t="n"/>
      <c r="G369" s="16" t="n"/>
      <c r="H369" s="21" t="n"/>
      <c r="I369" s="23" t="n"/>
      <c r="J369" s="31" t="n"/>
      <c r="K369" s="23" t="n"/>
      <c r="L369" s="31" t="n"/>
      <c r="M369" s="21" t="n"/>
      <c r="N369" s="21" t="n"/>
      <c r="O369" s="28">
        <f>IF(A369="","",IF(SUMPRODUCT((Plans!$A$3:$A$300=A369)*(Plans!$B$3:$B$300=B369)*(Plans!$C$3:$C$300=C369))=0,"PLAN INCONNU","ok"))</f>
        <v/>
      </c>
    </row>
    <row r="370">
      <c r="A370" s="16" t="n"/>
      <c r="B370" s="21" t="n"/>
      <c r="C370" s="16" t="n"/>
      <c r="D370" s="16" t="n"/>
      <c r="E370" s="21" t="n"/>
      <c r="F370" s="21" t="n"/>
      <c r="G370" s="16" t="n"/>
      <c r="H370" s="21" t="n"/>
      <c r="I370" s="23" t="n"/>
      <c r="J370" s="31" t="n"/>
      <c r="K370" s="23" t="n"/>
      <c r="L370" s="31" t="n"/>
      <c r="M370" s="21" t="n"/>
      <c r="N370" s="21" t="n"/>
      <c r="O370" s="28">
        <f>IF(A370="","",IF(SUMPRODUCT((Plans!$A$3:$A$300=A370)*(Plans!$B$3:$B$300=B370)*(Plans!$C$3:$C$300=C370))=0,"PLAN INCONNU","ok"))</f>
        <v/>
      </c>
    </row>
    <row r="371">
      <c r="A371" s="16" t="n"/>
      <c r="B371" s="21" t="n"/>
      <c r="C371" s="16" t="n"/>
      <c r="D371" s="16" t="n"/>
      <c r="E371" s="21" t="n"/>
      <c r="F371" s="21" t="n"/>
      <c r="G371" s="16" t="n"/>
      <c r="H371" s="21" t="n"/>
      <c r="I371" s="23" t="n"/>
      <c r="J371" s="31" t="n"/>
      <c r="K371" s="23" t="n"/>
      <c r="L371" s="31" t="n"/>
      <c r="M371" s="21" t="n"/>
      <c r="N371" s="21" t="n"/>
      <c r="O371" s="28">
        <f>IF(A371="","",IF(SUMPRODUCT((Plans!$A$3:$A$300=A371)*(Plans!$B$3:$B$300=B371)*(Plans!$C$3:$C$300=C371))=0,"PLAN INCONNU","ok"))</f>
        <v/>
      </c>
    </row>
    <row r="372">
      <c r="A372" s="16" t="n"/>
      <c r="B372" s="21" t="n"/>
      <c r="C372" s="16" t="n"/>
      <c r="D372" s="16" t="n"/>
      <c r="E372" s="21" t="n"/>
      <c r="F372" s="21" t="n"/>
      <c r="G372" s="16" t="n"/>
      <c r="H372" s="21" t="n"/>
      <c r="I372" s="23" t="n"/>
      <c r="J372" s="31" t="n"/>
      <c r="K372" s="23" t="n"/>
      <c r="L372" s="31" t="n"/>
      <c r="M372" s="21" t="n"/>
      <c r="N372" s="21" t="n"/>
      <c r="O372" s="28">
        <f>IF(A372="","",IF(SUMPRODUCT((Plans!$A$3:$A$300=A372)*(Plans!$B$3:$B$300=B372)*(Plans!$C$3:$C$300=C372))=0,"PLAN INCONNU","ok"))</f>
        <v/>
      </c>
    </row>
    <row r="373">
      <c r="A373" s="16" t="n"/>
      <c r="B373" s="21" t="n"/>
      <c r="C373" s="16" t="n"/>
      <c r="D373" s="16" t="n"/>
      <c r="E373" s="21" t="n"/>
      <c r="F373" s="21" t="n"/>
      <c r="G373" s="16" t="n"/>
      <c r="H373" s="21" t="n"/>
      <c r="I373" s="23" t="n"/>
      <c r="J373" s="31" t="n"/>
      <c r="K373" s="23" t="n"/>
      <c r="L373" s="31" t="n"/>
      <c r="M373" s="21" t="n"/>
      <c r="N373" s="21" t="n"/>
      <c r="O373" s="28">
        <f>IF(A373="","",IF(SUMPRODUCT((Plans!$A$3:$A$300=A373)*(Plans!$B$3:$B$300=B373)*(Plans!$C$3:$C$300=C373))=0,"PLAN INCONNU","ok"))</f>
        <v/>
      </c>
    </row>
    <row r="374">
      <c r="A374" s="16" t="n"/>
      <c r="B374" s="21" t="n"/>
      <c r="C374" s="16" t="n"/>
      <c r="D374" s="16" t="n"/>
      <c r="E374" s="21" t="n"/>
      <c r="F374" s="21" t="n"/>
      <c r="G374" s="16" t="n"/>
      <c r="H374" s="21" t="n"/>
      <c r="I374" s="23" t="n"/>
      <c r="J374" s="31" t="n"/>
      <c r="K374" s="23" t="n"/>
      <c r="L374" s="31" t="n"/>
      <c r="M374" s="21" t="n"/>
      <c r="N374" s="21" t="n"/>
      <c r="O374" s="28">
        <f>IF(A374="","",IF(SUMPRODUCT((Plans!$A$3:$A$300=A374)*(Plans!$B$3:$B$300=B374)*(Plans!$C$3:$C$300=C374))=0,"PLAN INCONNU","ok"))</f>
        <v/>
      </c>
    </row>
    <row r="375">
      <c r="A375" s="16" t="n"/>
      <c r="B375" s="21" t="n"/>
      <c r="C375" s="16" t="n"/>
      <c r="D375" s="16" t="n"/>
      <c r="E375" s="21" t="n"/>
      <c r="F375" s="21" t="n"/>
      <c r="G375" s="16" t="n"/>
      <c r="H375" s="21" t="n"/>
      <c r="I375" s="23" t="n"/>
      <c r="J375" s="31" t="n"/>
      <c r="K375" s="23" t="n"/>
      <c r="L375" s="31" t="n"/>
      <c r="M375" s="21" t="n"/>
      <c r="N375" s="21" t="n"/>
      <c r="O375" s="28">
        <f>IF(A375="","",IF(SUMPRODUCT((Plans!$A$3:$A$300=A375)*(Plans!$B$3:$B$300=B375)*(Plans!$C$3:$C$300=C375))=0,"PLAN INCONNU","ok"))</f>
        <v/>
      </c>
    </row>
    <row r="376">
      <c r="A376" s="16" t="n"/>
      <c r="B376" s="21" t="n"/>
      <c r="C376" s="16" t="n"/>
      <c r="D376" s="16" t="n"/>
      <c r="E376" s="21" t="n"/>
      <c r="F376" s="21" t="n"/>
      <c r="G376" s="16" t="n"/>
      <c r="H376" s="21" t="n"/>
      <c r="I376" s="23" t="n"/>
      <c r="J376" s="31" t="n"/>
      <c r="K376" s="23" t="n"/>
      <c r="L376" s="31" t="n"/>
      <c r="M376" s="21" t="n"/>
      <c r="N376" s="21" t="n"/>
      <c r="O376" s="28">
        <f>IF(A376="","",IF(SUMPRODUCT((Plans!$A$3:$A$300=A376)*(Plans!$B$3:$B$300=B376)*(Plans!$C$3:$C$300=C376))=0,"PLAN INCONNU","ok"))</f>
        <v/>
      </c>
    </row>
    <row r="377">
      <c r="A377" s="16" t="n"/>
      <c r="B377" s="21" t="n"/>
      <c r="C377" s="16" t="n"/>
      <c r="D377" s="16" t="n"/>
      <c r="E377" s="21" t="n"/>
      <c r="F377" s="21" t="n"/>
      <c r="G377" s="16" t="n"/>
      <c r="H377" s="21" t="n"/>
      <c r="I377" s="23" t="n"/>
      <c r="J377" s="31" t="n"/>
      <c r="K377" s="23" t="n"/>
      <c r="L377" s="31" t="n"/>
      <c r="M377" s="21" t="n"/>
      <c r="N377" s="21" t="n"/>
      <c r="O377" s="28">
        <f>IF(A377="","",IF(SUMPRODUCT((Plans!$A$3:$A$300=A377)*(Plans!$B$3:$B$300=B377)*(Plans!$C$3:$C$300=C377))=0,"PLAN INCONNU","ok"))</f>
        <v/>
      </c>
    </row>
    <row r="378">
      <c r="A378" s="16" t="n"/>
      <c r="B378" s="21" t="n"/>
      <c r="C378" s="16" t="n"/>
      <c r="D378" s="16" t="n"/>
      <c r="E378" s="21" t="n"/>
      <c r="F378" s="21" t="n"/>
      <c r="G378" s="16" t="n"/>
      <c r="H378" s="21" t="n"/>
      <c r="I378" s="23" t="n"/>
      <c r="J378" s="31" t="n"/>
      <c r="K378" s="23" t="n"/>
      <c r="L378" s="31" t="n"/>
      <c r="M378" s="21" t="n"/>
      <c r="N378" s="21" t="n"/>
      <c r="O378" s="28">
        <f>IF(A378="","",IF(SUMPRODUCT((Plans!$A$3:$A$300=A378)*(Plans!$B$3:$B$300=B378)*(Plans!$C$3:$C$300=C378))=0,"PLAN INCONNU","ok"))</f>
        <v/>
      </c>
    </row>
    <row r="379">
      <c r="A379" s="16" t="n"/>
      <c r="B379" s="21" t="n"/>
      <c r="C379" s="16" t="n"/>
      <c r="D379" s="16" t="n"/>
      <c r="E379" s="21" t="n"/>
      <c r="F379" s="21" t="n"/>
      <c r="G379" s="16" t="n"/>
      <c r="H379" s="21" t="n"/>
      <c r="I379" s="23" t="n"/>
      <c r="J379" s="31" t="n"/>
      <c r="K379" s="23" t="n"/>
      <c r="L379" s="31" t="n"/>
      <c r="M379" s="21" t="n"/>
      <c r="N379" s="21" t="n"/>
      <c r="O379" s="28">
        <f>IF(A379="","",IF(SUMPRODUCT((Plans!$A$3:$A$300=A379)*(Plans!$B$3:$B$300=B379)*(Plans!$C$3:$C$300=C379))=0,"PLAN INCONNU","ok"))</f>
        <v/>
      </c>
    </row>
    <row r="380">
      <c r="A380" s="16" t="n"/>
      <c r="B380" s="21" t="n"/>
      <c r="C380" s="16" t="n"/>
      <c r="D380" s="16" t="n"/>
      <c r="E380" s="21" t="n"/>
      <c r="F380" s="21" t="n"/>
      <c r="G380" s="16" t="n"/>
      <c r="H380" s="21" t="n"/>
      <c r="I380" s="23" t="n"/>
      <c r="J380" s="31" t="n"/>
      <c r="K380" s="23" t="n"/>
      <c r="L380" s="31" t="n"/>
      <c r="M380" s="21" t="n"/>
      <c r="N380" s="21" t="n"/>
      <c r="O380" s="28">
        <f>IF(A380="","",IF(SUMPRODUCT((Plans!$A$3:$A$300=A380)*(Plans!$B$3:$B$300=B380)*(Plans!$C$3:$C$300=C380))=0,"PLAN INCONNU","ok"))</f>
        <v/>
      </c>
    </row>
    <row r="381">
      <c r="A381" s="16" t="n"/>
      <c r="B381" s="21" t="n"/>
      <c r="C381" s="16" t="n"/>
      <c r="D381" s="16" t="n"/>
      <c r="E381" s="21" t="n"/>
      <c r="F381" s="21" t="n"/>
      <c r="G381" s="16" t="n"/>
      <c r="H381" s="21" t="n"/>
      <c r="I381" s="23" t="n"/>
      <c r="J381" s="31" t="n"/>
      <c r="K381" s="23" t="n"/>
      <c r="L381" s="31" t="n"/>
      <c r="M381" s="21" t="n"/>
      <c r="N381" s="21" t="n"/>
      <c r="O381" s="28">
        <f>IF(A381="","",IF(SUMPRODUCT((Plans!$A$3:$A$300=A381)*(Plans!$B$3:$B$300=B381)*(Plans!$C$3:$C$300=C381))=0,"PLAN INCONNU","ok"))</f>
        <v/>
      </c>
    </row>
    <row r="382">
      <c r="A382" s="16" t="n"/>
      <c r="B382" s="21" t="n"/>
      <c r="C382" s="16" t="n"/>
      <c r="D382" s="16" t="n"/>
      <c r="E382" s="21" t="n"/>
      <c r="F382" s="21" t="n"/>
      <c r="G382" s="16" t="n"/>
      <c r="H382" s="21" t="n"/>
      <c r="I382" s="23" t="n"/>
      <c r="J382" s="31" t="n"/>
      <c r="K382" s="23" t="n"/>
      <c r="L382" s="31" t="n"/>
      <c r="M382" s="21" t="n"/>
      <c r="N382" s="21" t="n"/>
      <c r="O382" s="28">
        <f>IF(A382="","",IF(SUMPRODUCT((Plans!$A$3:$A$300=A382)*(Plans!$B$3:$B$300=B382)*(Plans!$C$3:$C$300=C382))=0,"PLAN INCONNU","ok"))</f>
        <v/>
      </c>
    </row>
    <row r="383">
      <c r="A383" s="16" t="n"/>
      <c r="B383" s="21" t="n"/>
      <c r="C383" s="16" t="n"/>
      <c r="D383" s="16" t="n"/>
      <c r="E383" s="21" t="n"/>
      <c r="F383" s="21" t="n"/>
      <c r="G383" s="16" t="n"/>
      <c r="H383" s="21" t="n"/>
      <c r="I383" s="23" t="n"/>
      <c r="J383" s="31" t="n"/>
      <c r="K383" s="23" t="n"/>
      <c r="L383" s="31" t="n"/>
      <c r="M383" s="21" t="n"/>
      <c r="N383" s="21" t="n"/>
      <c r="O383" s="28">
        <f>IF(A383="","",IF(SUMPRODUCT((Plans!$A$3:$A$300=A383)*(Plans!$B$3:$B$300=B383)*(Plans!$C$3:$C$300=C383))=0,"PLAN INCONNU","ok"))</f>
        <v/>
      </c>
    </row>
    <row r="384">
      <c r="A384" s="16" t="n"/>
      <c r="B384" s="21" t="n"/>
      <c r="C384" s="16" t="n"/>
      <c r="D384" s="16" t="n"/>
      <c r="E384" s="21" t="n"/>
      <c r="F384" s="21" t="n"/>
      <c r="G384" s="16" t="n"/>
      <c r="H384" s="21" t="n"/>
      <c r="I384" s="23" t="n"/>
      <c r="J384" s="31" t="n"/>
      <c r="K384" s="23" t="n"/>
      <c r="L384" s="31" t="n"/>
      <c r="M384" s="21" t="n"/>
      <c r="N384" s="21" t="n"/>
      <c r="O384" s="28">
        <f>IF(A384="","",IF(SUMPRODUCT((Plans!$A$3:$A$300=A384)*(Plans!$B$3:$B$300=B384)*(Plans!$C$3:$C$300=C384))=0,"PLAN INCONNU","ok"))</f>
        <v/>
      </c>
    </row>
    <row r="385">
      <c r="A385" s="16" t="n"/>
      <c r="B385" s="21" t="n"/>
      <c r="C385" s="16" t="n"/>
      <c r="D385" s="16" t="n"/>
      <c r="E385" s="21" t="n"/>
      <c r="F385" s="21" t="n"/>
      <c r="G385" s="16" t="n"/>
      <c r="H385" s="21" t="n"/>
      <c r="I385" s="23" t="n"/>
      <c r="J385" s="31" t="n"/>
      <c r="K385" s="23" t="n"/>
      <c r="L385" s="31" t="n"/>
      <c r="M385" s="21" t="n"/>
      <c r="N385" s="21" t="n"/>
      <c r="O385" s="28">
        <f>IF(A385="","",IF(SUMPRODUCT((Plans!$A$3:$A$300=A385)*(Plans!$B$3:$B$300=B385)*(Plans!$C$3:$C$300=C385))=0,"PLAN INCONNU","ok"))</f>
        <v/>
      </c>
    </row>
    <row r="386">
      <c r="A386" s="16" t="n"/>
      <c r="B386" s="21" t="n"/>
      <c r="C386" s="16" t="n"/>
      <c r="D386" s="16" t="n"/>
      <c r="E386" s="21" t="n"/>
      <c r="F386" s="21" t="n"/>
      <c r="G386" s="16" t="n"/>
      <c r="H386" s="21" t="n"/>
      <c r="I386" s="23" t="n"/>
      <c r="J386" s="31" t="n"/>
      <c r="K386" s="23" t="n"/>
      <c r="L386" s="31" t="n"/>
      <c r="M386" s="21" t="n"/>
      <c r="N386" s="21" t="n"/>
      <c r="O386" s="28">
        <f>IF(A386="","",IF(SUMPRODUCT((Plans!$A$3:$A$300=A386)*(Plans!$B$3:$B$300=B386)*(Plans!$C$3:$C$300=C386))=0,"PLAN INCONNU","ok"))</f>
        <v/>
      </c>
    </row>
    <row r="387">
      <c r="A387" s="16" t="n"/>
      <c r="B387" s="21" t="n"/>
      <c r="C387" s="16" t="n"/>
      <c r="D387" s="16" t="n"/>
      <c r="E387" s="21" t="n"/>
      <c r="F387" s="21" t="n"/>
      <c r="G387" s="16" t="n"/>
      <c r="H387" s="21" t="n"/>
      <c r="I387" s="23" t="n"/>
      <c r="J387" s="31" t="n"/>
      <c r="K387" s="23" t="n"/>
      <c r="L387" s="31" t="n"/>
      <c r="M387" s="21" t="n"/>
      <c r="N387" s="21" t="n"/>
      <c r="O387" s="28">
        <f>IF(A387="","",IF(SUMPRODUCT((Plans!$A$3:$A$300=A387)*(Plans!$B$3:$B$300=B387)*(Plans!$C$3:$C$300=C387))=0,"PLAN INCONNU","ok"))</f>
        <v/>
      </c>
    </row>
    <row r="388">
      <c r="A388" s="16" t="n"/>
      <c r="B388" s="21" t="n"/>
      <c r="C388" s="16" t="n"/>
      <c r="D388" s="16" t="n"/>
      <c r="E388" s="21" t="n"/>
      <c r="F388" s="21" t="n"/>
      <c r="G388" s="16" t="n"/>
      <c r="H388" s="21" t="n"/>
      <c r="I388" s="23" t="n"/>
      <c r="J388" s="31" t="n"/>
      <c r="K388" s="23" t="n"/>
      <c r="L388" s="31" t="n"/>
      <c r="M388" s="21" t="n"/>
      <c r="N388" s="21" t="n"/>
      <c r="O388" s="28">
        <f>IF(A388="","",IF(SUMPRODUCT((Plans!$A$3:$A$300=A388)*(Plans!$B$3:$B$300=B388)*(Plans!$C$3:$C$300=C388))=0,"PLAN INCONNU","ok"))</f>
        <v/>
      </c>
    </row>
    <row r="389">
      <c r="A389" s="16" t="n"/>
      <c r="B389" s="21" t="n"/>
      <c r="C389" s="16" t="n"/>
      <c r="D389" s="16" t="n"/>
      <c r="E389" s="21" t="n"/>
      <c r="F389" s="21" t="n"/>
      <c r="G389" s="16" t="n"/>
      <c r="H389" s="21" t="n"/>
      <c r="I389" s="23" t="n"/>
      <c r="J389" s="31" t="n"/>
      <c r="K389" s="23" t="n"/>
      <c r="L389" s="31" t="n"/>
      <c r="M389" s="21" t="n"/>
      <c r="N389" s="21" t="n"/>
      <c r="O389" s="28">
        <f>IF(A389="","",IF(SUMPRODUCT((Plans!$A$3:$A$300=A389)*(Plans!$B$3:$B$300=B389)*(Plans!$C$3:$C$300=C389))=0,"PLAN INCONNU","ok"))</f>
        <v/>
      </c>
    </row>
    <row r="390">
      <c r="A390" s="16" t="n"/>
      <c r="B390" s="21" t="n"/>
      <c r="C390" s="16" t="n"/>
      <c r="D390" s="16" t="n"/>
      <c r="E390" s="21" t="n"/>
      <c r="F390" s="21" t="n"/>
      <c r="G390" s="16" t="n"/>
      <c r="H390" s="21" t="n"/>
      <c r="I390" s="23" t="n"/>
      <c r="J390" s="31" t="n"/>
      <c r="K390" s="23" t="n"/>
      <c r="L390" s="31" t="n"/>
      <c r="M390" s="21" t="n"/>
      <c r="N390" s="21" t="n"/>
      <c r="O390" s="28">
        <f>IF(A390="","",IF(SUMPRODUCT((Plans!$A$3:$A$300=A390)*(Plans!$B$3:$B$300=B390)*(Plans!$C$3:$C$300=C390))=0,"PLAN INCONNU","ok"))</f>
        <v/>
      </c>
    </row>
    <row r="391">
      <c r="A391" s="16" t="n"/>
      <c r="B391" s="21" t="n"/>
      <c r="C391" s="16" t="n"/>
      <c r="D391" s="16" t="n"/>
      <c r="E391" s="21" t="n"/>
      <c r="F391" s="21" t="n"/>
      <c r="G391" s="16" t="n"/>
      <c r="H391" s="21" t="n"/>
      <c r="I391" s="23" t="n"/>
      <c r="J391" s="31" t="n"/>
      <c r="K391" s="23" t="n"/>
      <c r="L391" s="31" t="n"/>
      <c r="M391" s="21" t="n"/>
      <c r="N391" s="21" t="n"/>
      <c r="O391" s="28">
        <f>IF(A391="","",IF(SUMPRODUCT((Plans!$A$3:$A$300=A391)*(Plans!$B$3:$B$300=B391)*(Plans!$C$3:$C$300=C391))=0,"PLAN INCONNU","ok"))</f>
        <v/>
      </c>
    </row>
    <row r="392">
      <c r="A392" s="16" t="n"/>
      <c r="B392" s="21" t="n"/>
      <c r="C392" s="16" t="n"/>
      <c r="D392" s="16" t="n"/>
      <c r="E392" s="21" t="n"/>
      <c r="F392" s="21" t="n"/>
      <c r="G392" s="16" t="n"/>
      <c r="H392" s="21" t="n"/>
      <c r="I392" s="23" t="n"/>
      <c r="J392" s="31" t="n"/>
      <c r="K392" s="23" t="n"/>
      <c r="L392" s="31" t="n"/>
      <c r="M392" s="21" t="n"/>
      <c r="N392" s="21" t="n"/>
      <c r="O392" s="28">
        <f>IF(A392="","",IF(SUMPRODUCT((Plans!$A$3:$A$300=A392)*(Plans!$B$3:$B$300=B392)*(Plans!$C$3:$C$300=C392))=0,"PLAN INCONNU","ok"))</f>
        <v/>
      </c>
    </row>
    <row r="393">
      <c r="A393" s="16" t="n"/>
      <c r="B393" s="21" t="n"/>
      <c r="C393" s="16" t="n"/>
      <c r="D393" s="16" t="n"/>
      <c r="E393" s="21" t="n"/>
      <c r="F393" s="21" t="n"/>
      <c r="G393" s="16" t="n"/>
      <c r="H393" s="21" t="n"/>
      <c r="I393" s="23" t="n"/>
      <c r="J393" s="31" t="n"/>
      <c r="K393" s="23" t="n"/>
      <c r="L393" s="31" t="n"/>
      <c r="M393" s="21" t="n"/>
      <c r="N393" s="21" t="n"/>
      <c r="O393" s="28">
        <f>IF(A393="","",IF(SUMPRODUCT((Plans!$A$3:$A$300=A393)*(Plans!$B$3:$B$300=B393)*(Plans!$C$3:$C$300=C393))=0,"PLAN INCONNU","ok"))</f>
        <v/>
      </c>
    </row>
    <row r="394">
      <c r="A394" s="16" t="n"/>
      <c r="B394" s="21" t="n"/>
      <c r="C394" s="16" t="n"/>
      <c r="D394" s="16" t="n"/>
      <c r="E394" s="21" t="n"/>
      <c r="F394" s="21" t="n"/>
      <c r="G394" s="16" t="n"/>
      <c r="H394" s="21" t="n"/>
      <c r="I394" s="23" t="n"/>
      <c r="J394" s="31" t="n"/>
      <c r="K394" s="23" t="n"/>
      <c r="L394" s="31" t="n"/>
      <c r="M394" s="21" t="n"/>
      <c r="N394" s="21" t="n"/>
      <c r="O394" s="28">
        <f>IF(A394="","",IF(SUMPRODUCT((Plans!$A$3:$A$300=A394)*(Plans!$B$3:$B$300=B394)*(Plans!$C$3:$C$300=C394))=0,"PLAN INCONNU","ok"))</f>
        <v/>
      </c>
    </row>
    <row r="395">
      <c r="A395" s="16" t="n"/>
      <c r="B395" s="21" t="n"/>
      <c r="C395" s="16" t="n"/>
      <c r="D395" s="16" t="n"/>
      <c r="E395" s="21" t="n"/>
      <c r="F395" s="21" t="n"/>
      <c r="G395" s="16" t="n"/>
      <c r="H395" s="21" t="n"/>
      <c r="I395" s="23" t="n"/>
      <c r="J395" s="31" t="n"/>
      <c r="K395" s="23" t="n"/>
      <c r="L395" s="31" t="n"/>
      <c r="M395" s="21" t="n"/>
      <c r="N395" s="21" t="n"/>
      <c r="O395" s="28">
        <f>IF(A395="","",IF(SUMPRODUCT((Plans!$A$3:$A$300=A395)*(Plans!$B$3:$B$300=B395)*(Plans!$C$3:$C$300=C395))=0,"PLAN INCONNU","ok"))</f>
        <v/>
      </c>
    </row>
    <row r="396">
      <c r="A396" s="16" t="n"/>
      <c r="B396" s="21" t="n"/>
      <c r="C396" s="16" t="n"/>
      <c r="D396" s="16" t="n"/>
      <c r="E396" s="21" t="n"/>
      <c r="F396" s="21" t="n"/>
      <c r="G396" s="16" t="n"/>
      <c r="H396" s="21" t="n"/>
      <c r="I396" s="23" t="n"/>
      <c r="J396" s="31" t="n"/>
      <c r="K396" s="23" t="n"/>
      <c r="L396" s="31" t="n"/>
      <c r="M396" s="21" t="n"/>
      <c r="N396" s="21" t="n"/>
      <c r="O396" s="28">
        <f>IF(A396="","",IF(SUMPRODUCT((Plans!$A$3:$A$300=A396)*(Plans!$B$3:$B$300=B396)*(Plans!$C$3:$C$300=C396))=0,"PLAN INCONNU","ok"))</f>
        <v/>
      </c>
    </row>
    <row r="397">
      <c r="A397" s="16" t="n"/>
      <c r="B397" s="21" t="n"/>
      <c r="C397" s="16" t="n"/>
      <c r="D397" s="16" t="n"/>
      <c r="E397" s="21" t="n"/>
      <c r="F397" s="21" t="n"/>
      <c r="G397" s="16" t="n"/>
      <c r="H397" s="21" t="n"/>
      <c r="I397" s="23" t="n"/>
      <c r="J397" s="31" t="n"/>
      <c r="K397" s="23" t="n"/>
      <c r="L397" s="31" t="n"/>
      <c r="M397" s="21" t="n"/>
      <c r="N397" s="21" t="n"/>
      <c r="O397" s="28">
        <f>IF(A397="","",IF(SUMPRODUCT((Plans!$A$3:$A$300=A397)*(Plans!$B$3:$B$300=B397)*(Plans!$C$3:$C$300=C397))=0,"PLAN INCONNU","ok"))</f>
        <v/>
      </c>
    </row>
    <row r="398">
      <c r="A398" s="16" t="n"/>
      <c r="B398" s="21" t="n"/>
      <c r="C398" s="16" t="n"/>
      <c r="D398" s="16" t="n"/>
      <c r="E398" s="21" t="n"/>
      <c r="F398" s="21" t="n"/>
      <c r="G398" s="16" t="n"/>
      <c r="H398" s="21" t="n"/>
      <c r="I398" s="23" t="n"/>
      <c r="J398" s="31" t="n"/>
      <c r="K398" s="23" t="n"/>
      <c r="L398" s="31" t="n"/>
      <c r="M398" s="21" t="n"/>
      <c r="N398" s="21" t="n"/>
      <c r="O398" s="28">
        <f>IF(A398="","",IF(SUMPRODUCT((Plans!$A$3:$A$300=A398)*(Plans!$B$3:$B$300=B398)*(Plans!$C$3:$C$300=C398))=0,"PLAN INCONNU","ok"))</f>
        <v/>
      </c>
    </row>
    <row r="399">
      <c r="A399" s="16" t="n"/>
      <c r="B399" s="21" t="n"/>
      <c r="C399" s="16" t="n"/>
      <c r="D399" s="16" t="n"/>
      <c r="E399" s="21" t="n"/>
      <c r="F399" s="21" t="n"/>
      <c r="G399" s="16" t="n"/>
      <c r="H399" s="21" t="n"/>
      <c r="I399" s="23" t="n"/>
      <c r="J399" s="31" t="n"/>
      <c r="K399" s="23" t="n"/>
      <c r="L399" s="31" t="n"/>
      <c r="M399" s="21" t="n"/>
      <c r="N399" s="21" t="n"/>
      <c r="O399" s="28">
        <f>IF(A399="","",IF(SUMPRODUCT((Plans!$A$3:$A$300=A399)*(Plans!$B$3:$B$300=B399)*(Plans!$C$3:$C$300=C399))=0,"PLAN INCONNU","ok"))</f>
        <v/>
      </c>
    </row>
    <row r="400">
      <c r="A400" s="16" t="n"/>
      <c r="B400" s="21" t="n"/>
      <c r="C400" s="16" t="n"/>
      <c r="D400" s="16" t="n"/>
      <c r="E400" s="21" t="n"/>
      <c r="F400" s="21" t="n"/>
      <c r="G400" s="16" t="n"/>
      <c r="H400" s="21" t="n"/>
      <c r="I400" s="23" t="n"/>
      <c r="J400" s="31" t="n"/>
      <c r="K400" s="23" t="n"/>
      <c r="L400" s="31" t="n"/>
      <c r="M400" s="21" t="n"/>
      <c r="N400" s="21" t="n"/>
      <c r="O400" s="28">
        <f>IF(A400="","",IF(SUMPRODUCT((Plans!$A$3:$A$300=A400)*(Plans!$B$3:$B$300=B400)*(Plans!$C$3:$C$300=C400))=0,"PLAN INCONNU","ok"))</f>
        <v/>
      </c>
    </row>
    <row r="401">
      <c r="A401" s="16" t="n"/>
      <c r="B401" s="21" t="n"/>
      <c r="C401" s="16" t="n"/>
      <c r="D401" s="16" t="n"/>
      <c r="E401" s="21" t="n"/>
      <c r="F401" s="21" t="n"/>
      <c r="G401" s="16" t="n"/>
      <c r="H401" s="21" t="n"/>
      <c r="I401" s="23" t="n"/>
      <c r="J401" s="31" t="n"/>
      <c r="K401" s="23" t="n"/>
      <c r="L401" s="31" t="n"/>
      <c r="M401" s="21" t="n"/>
      <c r="N401" s="21" t="n"/>
      <c r="O401" s="28">
        <f>IF(A401="","",IF(SUMPRODUCT((Plans!$A$3:$A$300=A401)*(Plans!$B$3:$B$300=B401)*(Plans!$C$3:$C$300=C401))=0,"PLAN INCONNU","ok"))</f>
        <v/>
      </c>
    </row>
    <row r="402">
      <c r="A402" s="16" t="n"/>
      <c r="B402" s="21" t="n"/>
      <c r="C402" s="16" t="n"/>
      <c r="D402" s="16" t="n"/>
      <c r="E402" s="21" t="n"/>
      <c r="F402" s="21" t="n"/>
      <c r="G402" s="16" t="n"/>
      <c r="H402" s="21" t="n"/>
      <c r="I402" s="23" t="n"/>
      <c r="J402" s="31" t="n"/>
      <c r="K402" s="23" t="n"/>
      <c r="L402" s="31" t="n"/>
      <c r="M402" s="21" t="n"/>
      <c r="N402" s="21" t="n"/>
      <c r="O402" s="28">
        <f>IF(A402="","",IF(SUMPRODUCT((Plans!$A$3:$A$300=A402)*(Plans!$B$3:$B$300=B402)*(Plans!$C$3:$C$300=C402))=0,"PLAN INCONNU","ok"))</f>
        <v/>
      </c>
    </row>
    <row r="403">
      <c r="A403" s="16" t="n"/>
      <c r="B403" s="21" t="n"/>
      <c r="C403" s="16" t="n"/>
      <c r="D403" s="16" t="n"/>
      <c r="E403" s="21" t="n"/>
      <c r="F403" s="21" t="n"/>
      <c r="G403" s="16" t="n"/>
      <c r="H403" s="21" t="n"/>
      <c r="I403" s="23" t="n"/>
      <c r="J403" s="31" t="n"/>
      <c r="K403" s="23" t="n"/>
      <c r="L403" s="31" t="n"/>
      <c r="M403" s="21" t="n"/>
      <c r="N403" s="21" t="n"/>
      <c r="O403" s="28">
        <f>IF(A403="","",IF(SUMPRODUCT((Plans!$A$3:$A$300=A403)*(Plans!$B$3:$B$300=B403)*(Plans!$C$3:$C$300=C403))=0,"PLAN INCONNU","ok"))</f>
        <v/>
      </c>
    </row>
    <row r="404">
      <c r="A404" s="16" t="n"/>
      <c r="B404" s="21" t="n"/>
      <c r="C404" s="16" t="n"/>
      <c r="D404" s="16" t="n"/>
      <c r="E404" s="21" t="n"/>
      <c r="F404" s="21" t="n"/>
      <c r="G404" s="16" t="n"/>
      <c r="H404" s="21" t="n"/>
      <c r="I404" s="23" t="n"/>
      <c r="J404" s="31" t="n"/>
      <c r="K404" s="23" t="n"/>
      <c r="L404" s="31" t="n"/>
      <c r="M404" s="21" t="n"/>
      <c r="N404" s="21" t="n"/>
      <c r="O404" s="28">
        <f>IF(A404="","",IF(SUMPRODUCT((Plans!$A$3:$A$300=A404)*(Plans!$B$3:$B$300=B404)*(Plans!$C$3:$C$300=C404))=0,"PLAN INCONNU","ok"))</f>
        <v/>
      </c>
    </row>
  </sheetData>
  <dataValidations count="2">
    <dataValidation sqref="D3:D404" showDropDown="0" showInputMessage="0" showErrorMessage="1" allowBlank="1" errorTitle="Valeur hors liste" error="Choisis une valeur dans la liste deroulante." type="list">
      <formula1>=Listes!$J$2:$J$4</formula1>
    </dataValidation>
    <dataValidation sqref="G3:G404" showDropDown="0" showInputMessage="0" showErrorMessage="1" allowBlank="1" errorTitle="Valeur hors liste" error="Choisis une valeur dans la liste deroulante." type="list">
      <formula1>=Listes!$K$2:$K$5</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374151"/>
    <outlinePr summaryBelow="1" summaryRight="1"/>
    <pageSetUpPr/>
  </sheetPr>
  <dimension ref="A1:G1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8" customWidth="1" min="2" max="2"/>
    <col width="30" customWidth="1" min="3" max="3"/>
    <col width="14" customWidth="1" min="4" max="4"/>
    <col width="14" customWidth="1" min="5" max="5"/>
    <col width="20" customWidth="1" min="6" max="6"/>
    <col width="40" customWidth="1" min="7" max="7"/>
  </cols>
  <sheetData>
    <row r="1" ht="30" customHeight="1">
      <c r="A1" s="14" t="inlineStr">
        <is>
          <t>type</t>
        </is>
      </c>
      <c r="B1" s="14" t="inlineStr">
        <is>
          <t>nom</t>
        </is>
      </c>
      <c r="C1" s="14" t="inlineStr">
        <is>
          <t>detail</t>
        </is>
      </c>
      <c r="D1" s="14" t="inlineStr">
        <is>
          <t>parametre</t>
        </is>
      </c>
      <c r="E1" s="14" t="inlineStr">
        <is>
          <t>valeur</t>
        </is>
      </c>
      <c r="F1" s="14" t="inlineStr">
        <is>
          <t>programmes</t>
        </is>
      </c>
      <c r="G1" s="14" t="inlineStr">
        <is>
          <t>logo_url</t>
        </is>
      </c>
    </row>
    <row r="2" ht="58" customHeight="1">
      <c r="A2" s="25" t="inlineStr">
        <is>
          <t>plateforme ou data_feed. Une etape du configurateur par type, seulement s'il y a au moins deux options.</t>
        </is>
      </c>
      <c r="B2" s="25" t="inlineStr">
        <is>
          <t>Le nom du bouton.</t>
        </is>
      </c>
      <c r="C2" s="25" t="inlineStr">
        <is>
          <t>La ligne sous le nom.</t>
        </is>
      </c>
      <c r="D2" s="25" t="inlineStr">
        <is>
          <t>Le nom du parametre transmis au paiement (opt_key). Lettres, chiffres, tirets.</t>
        </is>
      </c>
      <c r="E2" s="25" t="inlineStr">
        <is>
          <t>Sa valeur (opt_value).</t>
        </is>
      </c>
      <c r="F2" s="25" t="inlineStr">
        <is>
          <t>Slugs concernes, separes par des virgules. Vide : tous les programmes.</t>
        </is>
      </c>
      <c r="G2" s="25" t="inlineStr">
        <is>
          <t>Icone officielle de l'option, prise sur le site de l'editeur (https). Vide : logo de la plateforme du meme nom, sinon initiale.</t>
        </is>
      </c>
    </row>
    <row r="3">
      <c r="A3" s="16" t="n"/>
      <c r="B3" s="16" t="n"/>
      <c r="C3" s="16" t="n"/>
      <c r="D3" s="16" t="n"/>
      <c r="E3" s="16" t="n"/>
      <c r="F3" s="16" t="n"/>
    </row>
    <row r="4">
      <c r="A4" s="16" t="n"/>
      <c r="B4" s="16" t="n"/>
      <c r="C4" s="16" t="n"/>
      <c r="D4" s="16" t="n"/>
      <c r="E4" s="16" t="n"/>
      <c r="F4" s="16" t="n"/>
    </row>
    <row r="5">
      <c r="A5" s="16" t="n"/>
      <c r="B5" s="16" t="n"/>
      <c r="C5" s="16" t="n"/>
      <c r="D5" s="16" t="n"/>
      <c r="E5" s="16" t="n"/>
      <c r="F5" s="16" t="n"/>
    </row>
    <row r="6">
      <c r="A6" s="16" t="n"/>
      <c r="B6" s="16" t="n"/>
      <c r="C6" s="16" t="n"/>
      <c r="D6" s="16" t="n"/>
      <c r="E6" s="16" t="n"/>
      <c r="F6" s="16" t="n"/>
    </row>
    <row r="7">
      <c r="A7" s="16" t="n"/>
      <c r="B7" s="16" t="n"/>
      <c r="C7" s="16" t="n"/>
      <c r="D7" s="16" t="n"/>
      <c r="E7" s="16" t="n"/>
      <c r="F7" s="16" t="n"/>
    </row>
    <row r="8">
      <c r="A8" s="16" t="n"/>
      <c r="B8" s="16" t="n"/>
      <c r="C8" s="16" t="n"/>
      <c r="D8" s="16" t="n"/>
      <c r="E8" s="16" t="n"/>
      <c r="F8" s="16" t="n"/>
    </row>
    <row r="9">
      <c r="A9" s="16" t="n"/>
      <c r="B9" s="16" t="n"/>
      <c r="C9" s="16" t="n"/>
      <c r="D9" s="16" t="n"/>
      <c r="E9" s="16" t="n"/>
      <c r="F9" s="16" t="n"/>
    </row>
    <row r="10">
      <c r="A10" s="16" t="n"/>
      <c r="B10" s="16" t="n"/>
      <c r="C10" s="16" t="n"/>
      <c r="D10" s="16" t="n"/>
      <c r="E10" s="16" t="n"/>
      <c r="F10" s="16" t="n"/>
    </row>
    <row r="11">
      <c r="A11" s="16" t="n"/>
      <c r="B11" s="16" t="n"/>
      <c r="C11" s="16" t="n"/>
      <c r="D11" s="16" t="n"/>
      <c r="E11" s="16" t="n"/>
      <c r="F11" s="16" t="n"/>
    </row>
    <row r="12">
      <c r="A12" s="16" t="n"/>
      <c r="B12" s="16" t="n"/>
      <c r="C12" s="16" t="n"/>
      <c r="D12" s="16" t="n"/>
      <c r="E12" s="16" t="n"/>
      <c r="F12" s="16" t="n"/>
    </row>
    <row r="13">
      <c r="A13" s="16" t="n"/>
      <c r="B13" s="16" t="n"/>
      <c r="C13" s="16" t="n"/>
      <c r="D13" s="16" t="n"/>
      <c r="E13" s="16" t="n"/>
      <c r="F13" s="16" t="n"/>
    </row>
    <row r="14">
      <c r="A14" s="16" t="n"/>
      <c r="B14" s="16" t="n"/>
      <c r="C14" s="16" t="n"/>
      <c r="D14" s="16" t="n"/>
      <c r="E14" s="16" t="n"/>
      <c r="F14" s="16" t="n"/>
    </row>
  </sheetData>
  <dataValidations count="1">
    <dataValidation sqref="A3:A14" showDropDown="0" showInputMessage="0" showErrorMessage="1" allowBlank="1" errorTitle="Valeur hors liste" error="Choisis une valeur dans la liste deroulante." type="list">
      <formula1>=Listes!$D$2:$D$3</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4B5563"/>
    <outlinePr summaryBelow="1" summaryRight="1"/>
    <pageSetUpPr/>
  </sheetPr>
  <dimension ref="A1:D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44" customHeight="1">
      <c r="A2" s="15" t="inlineStr">
        <is>
          <t>code</t>
        </is>
      </c>
      <c r="B2" s="16" t="n"/>
      <c r="C2" s="17" t="inlineStr">
        <is>
          <t>SCANNED</t>
        </is>
      </c>
      <c r="D2" s="18" t="inlineStr">
        <is>
          <t>La case pointillee « [CODE] », en haut et dans « Your selection ».</t>
        </is>
      </c>
    </row>
    <row r="3" ht="44" customHeight="1">
      <c r="A3" s="15" t="inlineStr">
        <is>
          <t>remise</t>
        </is>
      </c>
      <c r="B3" s="31" t="n"/>
      <c r="C3" s="30" t="n">
        <v>0.3</v>
      </c>
      <c r="D3" s="18" t="inlineStr">
        <is>
          <t>« [XX]% OFF » et « [XX]% with [CODE] ». En %.</t>
        </is>
      </c>
    </row>
    <row r="4" ht="44" customHeight="1">
      <c r="A4" s="15" t="inlineStr">
        <is>
          <t>portee</t>
        </is>
      </c>
      <c r="B4" s="16" t="n"/>
      <c r="C4" s="17" t="inlineStr">
        <is>
          <t>non_confirmee</t>
        </is>
      </c>
      <c r="D4" s="18" t="inlineStr">
        <is>
          <t>non_confirmee → prix remise affiche avec « ≈ ». Sert aussi la reponse FAQ sur le code.</t>
        </is>
      </c>
    </row>
    <row r="5" ht="44" customHeight="1">
      <c r="A5" s="15" t="inlineStr">
        <is>
          <t>checkout_verifie</t>
        </is>
      </c>
      <c r="B5" s="16" t="n"/>
      <c r="C5" s="17" t="inlineStr">
        <is>
          <t>non</t>
        </is>
      </c>
      <c r="D5" s="18" t="inlineStr">
        <is>
          <t>oui seulement si le paiement a ete teste avec le code.</t>
        </is>
      </c>
    </row>
    <row r="6" ht="44" customHeight="1">
      <c r="A6" s="15" t="inlineStr">
        <is>
          <t>programmes_eligibles</t>
        </is>
      </c>
      <c r="B6" s="16" t="n"/>
      <c r="C6" s="17" t="inlineStr">
        <is>
          <t>(vide — non confirme)</t>
        </is>
      </c>
      <c r="D6" s="18" t="inlineStr">
        <is>
          <t>Le prix remise ne s'affiche que sur ces programmes, et la reponse FAQ « Does the promotional code apply to every account? ». Slugs separes par des virgules.</t>
        </is>
      </c>
    </row>
    <row r="7" ht="44" customHeight="1">
      <c r="A7" s="15" t="inlineStr">
        <is>
          <t>tailles_eligibles</t>
        </is>
      </c>
      <c r="B7" s="16" t="n"/>
      <c r="C7" s="17" t="inlineStr">
        <is>
          <t>(vide — non confirme)</t>
        </is>
      </c>
      <c r="D7" s="18" t="inlineStr">
        <is>
          <t>Idem, pour les tailles.</t>
        </is>
      </c>
    </row>
    <row r="8" ht="44" customHeight="1">
      <c r="A8" s="15" t="inlineStr">
        <is>
          <t>expire_le</t>
        </is>
      </c>
      <c r="B8" s="32" t="n"/>
      <c r="C8" s="33" t="inlineStr">
        <is>
          <t>(vide — date de fin inconnue)</t>
        </is>
      </c>
      <c r="D8" s="18" t="inlineStr">
        <is>
          <t>Non affiche sur la page pour l'instant.</t>
        </is>
      </c>
    </row>
    <row r="9">
      <c r="A9" s="15" t="inlineStr">
        <is>
          <t>statut</t>
        </is>
      </c>
      <c r="B9" s="32" t="inlineStr">
        <is>
          <t>needs_confirmation</t>
        </is>
      </c>
      <c r="C9" s="33" t="inlineStr">
        <is>
          <t>needs_confirmation</t>
        </is>
      </c>
      <c r="D9" s="18" t="inlineStr">
        <is>
          <t>Seule une offre confirmed s'affiche : remise, code, Copy code et Claim deal. Vide ou needs_confirmation : la carte garde le plan, le prix public et Continue to.</t>
        </is>
      </c>
    </row>
  </sheetData>
  <dataValidations count="3">
    <dataValidation sqref="B4" showDropDown="0" showInputMessage="0" showErrorMessage="1" allowBlank="1" errorTitle="Valeur hors liste" error="Choisis une valeur dans la liste deroulante." type="list">
      <formula1>=Listes!$M$2:$M$4</formula1>
    </dataValidation>
    <dataValidation sqref="B5" showDropDown="0" showInputMessage="0" showErrorMessage="1" allowBlank="1" errorTitle="Valeur hors liste" error="Choisis une valeur dans la liste deroulante." type="list">
      <formula1>=Listes!$N$2:$N$3</formula1>
    </dataValidation>
    <dataValidation sqref="B9" showDropDown="0" showInputMessage="0" showErrorMessage="0" allowBlank="1" type="list">
      <formula1>"confirmed,needs_confirmation"</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4B5563"/>
    <outlinePr summaryBelow="1" summaryRight="1"/>
    <pageSetUpPr/>
  </sheetPr>
  <dimension ref="A1:D4"/>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4" customWidth="1" min="2" max="2"/>
    <col width="44" customWidth="1" min="3" max="3"/>
    <col width="50" customWidth="1" min="4" max="4"/>
  </cols>
  <sheetData>
    <row r="1" ht="32" customHeight="1">
      <c r="A1" s="14" t="inlineStr">
        <is>
          <t>Champ</t>
        </is>
      </c>
      <c r="B1" s="14" t="inlineStr">
        <is>
          <t>Valeur a remplir</t>
        </is>
      </c>
      <c r="C1" s="14" t="inlineStr">
        <is>
          <t>Exemple — FuturesElite, 7 sept. 2026</t>
        </is>
      </c>
      <c r="D1" s="14" t="inlineStr">
        <is>
          <t>Ou ca s'affiche dans le HTML · si vide</t>
        </is>
      </c>
    </row>
    <row r="2" ht="96" customHeight="1">
      <c r="A2" s="15" t="inlineStr">
        <is>
          <t>trading</t>
        </is>
      </c>
      <c r="B2" s="16" t="n"/>
      <c r="C2" s="17" t="inlineStr">
        <is>
          <t>Overnight holding is not allowed; automatic liquidation may occur. Market closed Friday 16:55 EST to Sunday 18:00 EST. Fully automated AI or bots are not permitted. The configurator lists scalping as not allowed, without defining it. News trading is allowed in evaluation and restricted once funded, without a stated event window.</t>
        </is>
      </c>
      <c r="D2" s="18" t="inlineStr">
        <is>
          <t>Carte TRADING : actifs, levier par actif, news, week-end, overnight, EA, scalping.</t>
        </is>
      </c>
    </row>
    <row r="3" ht="96" customHeight="1">
      <c r="A3" s="15" t="inlineStr">
        <is>
          <t>commission</t>
        </is>
      </c>
      <c r="B3" s="16" t="n"/>
      <c r="C3" s="17" t="inlineStr">
        <is>
          <t>Commissions and exchange fees are charged per instrument on each executed trade.</t>
        </is>
      </c>
      <c r="D3" s="18" t="inlineStr">
        <is>
          <t>Carte COMMISSION : commission par lot ou contrat, spreads, frais de donnees.</t>
        </is>
      </c>
    </row>
    <row r="4" ht="96" customHeight="1">
      <c r="A4" s="15" t="inlineStr">
        <is>
          <t>retraits</t>
        </is>
      </c>
      <c r="B4" s="16" t="n"/>
      <c r="C4" s="17" t="inlineStr">
        <is>
          <t>Payout requests are reviewed in under 24 hours on average. Provider: Rise. KYC via Veriff: buyer, KYC holder and account operator must be the same person. Elite 25K funded: 90% split, $1,000 cap per request, $500 minimum.</t>
        </is>
      </c>
      <c r="D4" s="18" t="inlineStr">
        <is>
          <t>Carte PAYOUTS : premier retrait, frequence, minimum, plafond, partage, prestataire, KYC.</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4B5563"/>
    <outlinePr summaryBelow="1" summaryRight="1"/>
    <pageSetUpPr/>
  </sheetPr>
  <dimension ref="A1:D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4" customWidth="1" min="2" max="2"/>
    <col width="30" customWidth="1" min="3" max="3"/>
    <col width="90" customWidth="1" min="4" max="4"/>
  </cols>
  <sheetData>
    <row r="1" ht="30" customHeight="1">
      <c r="A1" s="14" t="inlineStr">
        <is>
          <t>ordre</t>
        </is>
      </c>
      <c r="B1" s="14" t="inlineStr">
        <is>
          <t>etape</t>
        </is>
      </c>
      <c r="C1" s="14" t="inlineStr">
        <is>
          <t>titre</t>
        </is>
      </c>
      <c r="D1" s="14" t="inlineStr">
        <is>
          <t>texte</t>
        </is>
      </c>
    </row>
    <row r="2" ht="58" customHeight="1">
      <c r="A2" s="25" t="inlineStr">
        <is>
          <t>1, 2, 3 : l'ordre des etapes, de gauche a droite.</t>
        </is>
      </c>
      <c r="B2" s="25" t="inlineStr">
        <is>
          <t>evaluation, funded ou payout. Sert le petit titre au-dessus de l'etape.</t>
        </is>
      </c>
      <c r="C2" s="25" t="inlineStr">
        <is>
          <t>Le titre de l'etape, en quelques mots.</t>
        </is>
      </c>
      <c r="D2" s="25" t="inlineStr">
        <is>
          <t>Ce qui se passe a cette etape, au niveau de la firme. Les differences entre programmes restent dans « Which program fits you? ».</t>
        </is>
      </c>
    </row>
    <row r="3">
      <c r="A3" s="24" t="n">
        <v>1</v>
      </c>
      <c r="B3" s="17" t="inlineStr">
        <is>
          <t>evaluation</t>
        </is>
      </c>
      <c r="C3" s="17" t="inlineStr">
        <is>
          <t>Evaluation</t>
        </is>
      </c>
      <c r="D3" s="17" t="inlineStr">
        <is>
          <t>One phase on Pro Growth and on futures, two on High Stakes, none on Hyper Growth. No time limit, and no monthly fee.</t>
        </is>
      </c>
    </row>
    <row r="4">
      <c r="A4" s="24" t="n">
        <v>2</v>
      </c>
      <c r="B4" s="17" t="inlineStr">
        <is>
          <t>funded</t>
        </is>
      </c>
      <c r="C4" s="17" t="inlineStr">
        <is>
          <t>Pro Trader account</t>
        </is>
      </c>
      <c r="D4" s="17" t="inlineStr">
        <is>
          <t>You trade the same limits with no profit target. KYC is required once you pass: identity and proof of address.</t>
        </is>
      </c>
    </row>
    <row r="5">
      <c r="A5" s="24" t="n">
        <v>3</v>
      </c>
      <c r="B5" s="17" t="inlineStr">
        <is>
          <t>payout</t>
        </is>
      </c>
      <c r="C5" s="17" t="inlineStr">
        <is>
          <t>Payouts</t>
        </is>
      </c>
      <c r="D5" s="17" t="inlineStr">
        <is>
          <t>The first payout comes 14 days after the funded account opens, then every 14 days. Withdrawals carry a 3.5% fee, or none in Hub Credits.</t>
        </is>
      </c>
    </row>
    <row r="6">
      <c r="A6" s="23" t="n"/>
      <c r="B6" s="16" t="n"/>
      <c r="C6" s="16" t="n"/>
      <c r="D6" s="16" t="n"/>
    </row>
    <row r="7">
      <c r="A7" s="23" t="n"/>
      <c r="B7" s="16" t="n"/>
      <c r="C7" s="16" t="n"/>
      <c r="D7" s="16" t="n"/>
    </row>
    <row r="8">
      <c r="A8" s="23" t="n"/>
      <c r="B8" s="16" t="n"/>
      <c r="C8" s="16" t="n"/>
      <c r="D8" s="16" t="n"/>
    </row>
    <row r="9">
      <c r="A9" s="23" t="n"/>
      <c r="B9" s="16" t="n"/>
      <c r="C9" s="16" t="n"/>
      <c r="D9" s="16" t="n"/>
    </row>
    <row r="10">
      <c r="A10" s="23" t="n"/>
      <c r="B10" s="16" t="n"/>
      <c r="C10" s="16" t="n"/>
      <c r="D10" s="16" t="n"/>
    </row>
    <row r="11">
      <c r="A11" s="23" t="n"/>
      <c r="B11" s="16" t="n"/>
      <c r="C11" s="16" t="n"/>
      <c r="D11" s="16" t="n"/>
    </row>
    <row r="12">
      <c r="A12" s="23" t="n"/>
      <c r="B12" s="16" t="n"/>
      <c r="C12" s="16" t="n"/>
      <c r="D12" s="16" t="n"/>
    </row>
    <row r="13">
      <c r="A13" s="23" t="n"/>
      <c r="B13" s="16" t="n"/>
      <c r="C13" s="16" t="n"/>
      <c r="D13" s="16" t="n"/>
    </row>
    <row r="14">
      <c r="A14" s="23" t="n"/>
      <c r="B14" s="16" t="n"/>
      <c r="C14" s="16" t="n"/>
      <c r="D14" s="16" t="n"/>
    </row>
    <row r="15">
      <c r="A15" s="23" t="n"/>
      <c r="B15" s="16" t="n"/>
      <c r="C15" s="16" t="n"/>
      <c r="D15" s="16" t="n"/>
    </row>
    <row r="16">
      <c r="A16" s="23" t="n"/>
      <c r="B16" s="16" t="n"/>
      <c r="C16" s="16" t="n"/>
      <c r="D16" s="16" t="n"/>
    </row>
    <row r="17">
      <c r="A17" s="23" t="n"/>
      <c r="B17" s="16" t="n"/>
      <c r="C17" s="16" t="n"/>
      <c r="D17" s="16" t="n"/>
    </row>
  </sheetData>
  <dataValidations count="1">
    <dataValidation sqref="B3:B17" showDropDown="0" showInputMessage="0" showErrorMessage="1" allowBlank="1" errorTitle="Valeur hors liste" error="Choisis une valeur dans la liste deroulante." type="list">
      <formula1>=Listes!$F$2:$F$4</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4B5563"/>
    <outlinePr summaryBelow="1" summaryRight="1"/>
    <pageSetUpPr/>
  </sheetPr>
  <dimension ref="A1:C1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8" customWidth="1" min="2" max="2"/>
    <col width="90" customWidth="1" min="3" max="3"/>
  </cols>
  <sheetData>
    <row r="1" ht="30" customHeight="1">
      <c r="A1" s="14" t="inlineStr">
        <is>
          <t>type</t>
        </is>
      </c>
      <c r="B1" s="14" t="inlineStr">
        <is>
          <t>ordre</t>
        </is>
      </c>
      <c r="C1" s="14" t="inlineStr">
        <is>
          <t>texte</t>
        </is>
      </c>
    </row>
    <row r="2" ht="58" customHeight="1">
      <c r="A2" s="25" t="inlineStr">
        <is>
          <t>titre, intro ou element.</t>
        </is>
      </c>
      <c r="B2" s="25" t="inlineStr">
        <is>
          <t>Ordre des elements.</t>
        </is>
      </c>
      <c r="C2" s="25" t="inlineStr">
        <is>
          <t>Le texte. Sans aucune ligne : le module n'existe pas.</t>
        </is>
      </c>
    </row>
    <row r="3">
      <c r="A3" s="16" t="n"/>
      <c r="B3" s="23" t="n"/>
      <c r="C3" s="16" t="n"/>
    </row>
    <row r="4">
      <c r="A4" s="16" t="n"/>
      <c r="B4" s="23" t="n"/>
      <c r="C4" s="16" t="n"/>
    </row>
    <row r="5">
      <c r="A5" s="16" t="n"/>
      <c r="B5" s="23" t="n"/>
      <c r="C5" s="16" t="n"/>
    </row>
    <row r="6">
      <c r="A6" s="16" t="n"/>
      <c r="B6" s="23" t="n"/>
      <c r="C6" s="16" t="n"/>
    </row>
    <row r="7">
      <c r="A7" s="16" t="n"/>
      <c r="B7" s="23" t="n"/>
      <c r="C7" s="16" t="n"/>
    </row>
    <row r="8">
      <c r="A8" s="16" t="n"/>
      <c r="B8" s="23" t="n"/>
      <c r="C8" s="16" t="n"/>
    </row>
    <row r="9">
      <c r="A9" s="16" t="n"/>
      <c r="B9" s="23" t="n"/>
      <c r="C9" s="16" t="n"/>
    </row>
    <row r="10">
      <c r="A10" s="16" t="n"/>
      <c r="B10" s="23" t="n"/>
      <c r="C10" s="16" t="n"/>
    </row>
    <row r="11">
      <c r="A11" s="16" t="n"/>
      <c r="B11" s="23" t="n"/>
      <c r="C11" s="16" t="n"/>
    </row>
    <row r="12">
      <c r="A12" s="16" t="n"/>
      <c r="B12" s="23" t="n"/>
      <c r="C12" s="16" t="n"/>
    </row>
  </sheetData>
  <dataValidations count="1">
    <dataValidation sqref="A3:A12" showDropDown="0" showInputMessage="0" showErrorMessage="1" allowBlank="1" errorTitle="Valeur hors liste" error="Choisis une valeur dans la liste deroulante." type="list">
      <formula1>=Listes!$E$2:$E$4</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4B5563"/>
    <outlinePr summaryBelow="1" summaryRight="1"/>
    <pageSetUpPr/>
  </sheetPr>
  <dimension ref="A1:E18"/>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8" customWidth="1" min="3" max="3"/>
    <col width="18" customWidth="1" min="4" max="4"/>
    <col width="24" customWidth="1" min="5" max="5"/>
  </cols>
  <sheetData>
    <row r="1" ht="30" customHeight="1">
      <c r="A1" s="14" t="inlineStr">
        <is>
          <t>compte</t>
        </is>
      </c>
      <c r="B1" s="14" t="inlineStr">
        <is>
          <t>description</t>
        </is>
      </c>
      <c r="C1" s="14" t="inlineStr">
        <is>
          <t>ordre</t>
        </is>
      </c>
      <c r="D1" s="14" t="inlineStr">
        <is>
          <t>libelle</t>
        </is>
      </c>
      <c r="E1" s="14" t="inlineStr">
        <is>
          <t>valeur</t>
        </is>
      </c>
    </row>
    <row r="2" ht="58" customHeight="1">
      <c r="A2" s="25" t="inlineStr">
        <is>
          <t>Le nom du compte. Plusieurs lignes par compte.</t>
        </is>
      </c>
      <c r="B2" s="25" t="inlineStr">
        <is>
          <t>Une phrase, sur la premiere ligne du compte.</t>
        </is>
      </c>
      <c r="C2" s="25" t="inlineStr">
        <is>
          <t>Ordre des lignes du compte.</t>
        </is>
      </c>
      <c r="D2" s="25" t="inlineStr">
        <is>
          <t>La caracteristique : « Access », « Drawdown ».</t>
        </is>
      </c>
      <c r="E2" s="25" t="inlineStr">
        <is>
          <t>Sa valeur.</t>
        </is>
      </c>
    </row>
    <row r="3">
      <c r="A3" s="16" t="n"/>
      <c r="B3" s="16" t="n"/>
      <c r="C3" s="23" t="n"/>
      <c r="D3" s="16" t="n"/>
      <c r="E3" s="16" t="n"/>
    </row>
    <row r="4">
      <c r="A4" s="16" t="n"/>
      <c r="B4" s="16" t="n"/>
      <c r="C4" s="23" t="n"/>
      <c r="D4" s="16" t="n"/>
      <c r="E4" s="16" t="n"/>
    </row>
    <row r="5">
      <c r="A5" s="16" t="n"/>
      <c r="B5" s="16" t="n"/>
      <c r="C5" s="23" t="n"/>
      <c r="D5" s="16" t="n"/>
      <c r="E5" s="16" t="n"/>
    </row>
    <row r="6">
      <c r="A6" s="16" t="n"/>
      <c r="B6" s="16" t="n"/>
      <c r="C6" s="23" t="n"/>
      <c r="D6" s="16" t="n"/>
      <c r="E6" s="16" t="n"/>
    </row>
    <row r="7">
      <c r="A7" s="16" t="n"/>
      <c r="B7" s="16" t="n"/>
      <c r="C7" s="23" t="n"/>
      <c r="D7" s="16" t="n"/>
      <c r="E7" s="16" t="n"/>
    </row>
    <row r="8">
      <c r="A8" s="16" t="n"/>
      <c r="B8" s="16" t="n"/>
      <c r="C8" s="23" t="n"/>
      <c r="D8" s="16" t="n"/>
      <c r="E8" s="16" t="n"/>
    </row>
    <row r="9">
      <c r="A9" s="16" t="n"/>
      <c r="B9" s="16" t="n"/>
      <c r="C9" s="23" t="n"/>
      <c r="D9" s="16" t="n"/>
      <c r="E9" s="16" t="n"/>
    </row>
    <row r="10">
      <c r="A10" s="16" t="n"/>
      <c r="B10" s="16" t="n"/>
      <c r="C10" s="23" t="n"/>
      <c r="D10" s="16" t="n"/>
      <c r="E10" s="16" t="n"/>
    </row>
    <row r="11">
      <c r="A11" s="16" t="n"/>
      <c r="B11" s="16" t="n"/>
      <c r="C11" s="23" t="n"/>
      <c r="D11" s="16" t="n"/>
      <c r="E11" s="16" t="n"/>
    </row>
    <row r="12">
      <c r="A12" s="16" t="n"/>
      <c r="B12" s="16" t="n"/>
      <c r="C12" s="23" t="n"/>
      <c r="D12" s="16" t="n"/>
      <c r="E12" s="16" t="n"/>
    </row>
    <row r="13">
      <c r="A13" s="16" t="n"/>
      <c r="B13" s="16" t="n"/>
      <c r="C13" s="23" t="n"/>
      <c r="D13" s="16" t="n"/>
      <c r="E13" s="16" t="n"/>
    </row>
    <row r="14">
      <c r="A14" s="16" t="n"/>
      <c r="B14" s="16" t="n"/>
      <c r="C14" s="23" t="n"/>
      <c r="D14" s="16" t="n"/>
      <c r="E14" s="16" t="n"/>
    </row>
    <row r="15">
      <c r="A15" s="16" t="n"/>
      <c r="B15" s="16" t="n"/>
      <c r="C15" s="23" t="n"/>
      <c r="D15" s="16" t="n"/>
      <c r="E15" s="16" t="n"/>
    </row>
    <row r="16">
      <c r="A16" s="16" t="n"/>
      <c r="B16" s="16" t="n"/>
      <c r="C16" s="23" t="n"/>
      <c r="D16" s="16" t="n"/>
      <c r="E16" s="16" t="n"/>
    </row>
    <row r="17">
      <c r="A17" s="16" t="n"/>
      <c r="B17" s="16" t="n"/>
      <c r="C17" s="23" t="n"/>
      <c r="D17" s="16" t="n"/>
      <c r="E17" s="16" t="n"/>
    </row>
    <row r="18">
      <c r="A18" s="16" t="n"/>
      <c r="B18" s="16" t="n"/>
      <c r="C18" s="23" t="n"/>
      <c r="D18" s="16" t="n"/>
      <c r="E18" s="16" t="n"/>
    </row>
  </sheetData>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4B5563"/>
    <outlinePr summaryBelow="1" summaryRight="1"/>
    <pageSetUpPr/>
  </sheetPr>
  <dimension ref="A1:E15"/>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20" customWidth="1" min="3" max="3"/>
    <col width="80" customWidth="1" min="4" max="4"/>
    <col width="20" customWidth="1" min="5" max="5"/>
  </cols>
  <sheetData>
    <row r="1" ht="30" customHeight="1">
      <c r="A1" s="14" t="inlineStr">
        <is>
          <t>ordre</t>
        </is>
      </c>
      <c r="B1" s="14" t="inlineStr">
        <is>
          <t>libelle</t>
        </is>
      </c>
      <c r="C1" s="14" t="inlineStr">
        <is>
          <t>montant</t>
        </is>
      </c>
      <c r="D1" s="14" t="inlineStr">
        <is>
          <t>note</t>
        </is>
      </c>
      <c r="E1" s="14" t="inlineStr">
        <is>
          <t>programmes</t>
        </is>
      </c>
    </row>
    <row r="2" ht="58" customHeight="1">
      <c r="A2" s="25" t="inlineStr">
        <is>
          <t>1, 2, 3 : l'ordre des lignes.</t>
        </is>
      </c>
      <c r="B2" s="25" t="inlineStr">
        <is>
          <t>Le nom du frais, tel qu'il s'affiche.</t>
        </is>
      </c>
      <c r="C2" s="25" t="inlineStr">
        <is>
          <t>Texte libre : « $95 – $569 », « None », « Per contract ». Vide : la ligne affiche « — ».</t>
        </is>
      </c>
      <c r="D2" s="25" t="inlineStr">
        <is>
          <t>Quand il se paie, et a quelle condition. Vide : rien sous le montant.</t>
        </is>
      </c>
      <c r="E2" s="25" t="inlineStr">
        <is>
          <t>Slugs concernes, separes par des virgules. Vide : tous. Le prix, le reset et l'activation sont dans Plans.</t>
        </is>
      </c>
    </row>
    <row r="3">
      <c r="A3" s="24" t="n">
        <v>1</v>
      </c>
      <c r="B3" s="17" t="inlineStr">
        <is>
          <t>Evaluation fee</t>
        </is>
      </c>
      <c r="C3" s="17" t="inlineStr">
        <is>
          <t>One-time</t>
        </is>
      </c>
      <c r="D3" s="17" t="inlineStr">
        <is>
          <t>Paid once, at purchase. No monthly fee and no activation fee.</t>
        </is>
      </c>
      <c r="E3" s="17" t="n"/>
    </row>
    <row r="4">
      <c r="A4" s="23" t="n">
        <v>2</v>
      </c>
      <c r="B4" s="16" t="inlineStr">
        <is>
          <t>Balance at funding</t>
        </is>
      </c>
      <c r="C4" s="16" t="inlineStr">
        <is>
          <t>$50 to $350</t>
        </is>
      </c>
      <c r="D4" s="16" t="inlineStr">
        <is>
          <t>The Bootcamp is paid in two parts: the entry fee above, then the balance when you reach the funded account — $50 on the $20K, $205 on the $100K, $350 on the $250K.</t>
        </is>
      </c>
      <c r="E4" s="16" t="inlineStr">
        <is>
          <t>bootcamp</t>
        </is>
      </c>
    </row>
    <row r="5">
      <c r="A5" s="23" t="n">
        <v>3</v>
      </c>
      <c r="B5" s="16" t="inlineStr">
        <is>
          <t>Platform surcharge</t>
        </is>
      </c>
      <c r="C5" s="16" t="inlineStr">
        <is>
          <t>$10</t>
        </is>
      </c>
      <c r="D5" s="16" t="inlineStr">
        <is>
          <t>Added when you pick cTrader instead of MetaTrader 5 or TradingView.</t>
        </is>
      </c>
      <c r="E5" s="16" t="inlineStr">
        <is>
          <t>high-stakes, pro-growth, hyper-growth, bootcamp, summer-plan</t>
        </is>
      </c>
    </row>
    <row r="6">
      <c r="A6" s="23" t="n">
        <v>4</v>
      </c>
      <c r="B6" s="16" t="inlineStr">
        <is>
          <t>Withdrawal fee</t>
        </is>
      </c>
      <c r="C6" s="16" t="inlineStr">
        <is>
          <t>3.5%</t>
        </is>
      </c>
      <c r="D6" s="16" t="inlineStr">
        <is>
          <t>On Rise, crypto and bank transfers. Hub Credits carry no fee but cannot be withdrawn: they only buy new accounts, and expire after three months.</t>
        </is>
      </c>
      <c r="E6" s="16" t="n"/>
    </row>
    <row r="7">
      <c r="A7" s="23" t="n">
        <v>5</v>
      </c>
      <c r="B7" s="16" t="inlineStr">
        <is>
          <t>Commissions</t>
        </is>
      </c>
      <c r="C7" s="16" t="inlineStr">
        <is>
          <t>Per trade</t>
        </is>
      </c>
      <c r="D7" s="16" t="inlineStr">
        <is>
          <t>CFD: $4 per forex lot round turn, nothing on indices, a percentage on metals, oil and crypto. Futures: $5.00 round turn on standard contracts, $2.50 on micros.</t>
        </is>
      </c>
      <c r="E7" s="16" t="n"/>
    </row>
    <row r="8">
      <c r="A8" s="23" t="n"/>
      <c r="B8" s="16" t="n"/>
      <c r="C8" s="16" t="n"/>
      <c r="D8" s="16" t="n"/>
      <c r="E8" s="16" t="n"/>
    </row>
    <row r="9">
      <c r="A9" s="23" t="n"/>
      <c r="B9" s="16" t="n"/>
      <c r="C9" s="16" t="n"/>
      <c r="D9" s="16" t="n"/>
      <c r="E9" s="16" t="n"/>
    </row>
    <row r="10">
      <c r="A10" s="23" t="n"/>
      <c r="B10" s="16" t="n"/>
      <c r="C10" s="16" t="n"/>
      <c r="D10" s="16" t="n"/>
      <c r="E10" s="16" t="n"/>
    </row>
    <row r="11">
      <c r="A11" s="23" t="n"/>
      <c r="B11" s="16" t="n"/>
      <c r="C11" s="16" t="n"/>
      <c r="D11" s="16" t="n"/>
      <c r="E11" s="16" t="n"/>
    </row>
    <row r="12">
      <c r="A12" s="23" t="n"/>
      <c r="B12" s="16" t="n"/>
      <c r="C12" s="16" t="n"/>
      <c r="D12" s="16" t="n"/>
      <c r="E12" s="16" t="n"/>
    </row>
    <row r="13">
      <c r="A13" s="23" t="n"/>
      <c r="B13" s="16" t="n"/>
      <c r="C13" s="16" t="n"/>
      <c r="D13" s="16" t="n"/>
      <c r="E13" s="16" t="n"/>
    </row>
    <row r="14">
      <c r="A14" s="23" t="n"/>
      <c r="B14" s="16" t="n"/>
      <c r="C14" s="16" t="n"/>
      <c r="D14" s="16" t="n"/>
      <c r="E14" s="16" t="n"/>
    </row>
    <row r="15">
      <c r="A15" s="23" t="n"/>
      <c r="B15" s="16" t="n"/>
      <c r="C15" s="16" t="n"/>
      <c r="D15" s="16" t="n"/>
      <c r="E15" s="16" t="n"/>
    </row>
  </sheetData>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4B5563"/>
    <outlinePr summaryBelow="1" summaryRight="1"/>
    <pageSetUpPr/>
  </sheetPr>
  <dimension ref="A1:K64"/>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6" customWidth="1" min="2" max="2"/>
    <col width="80" customWidth="1" min="3" max="3"/>
    <col width="18" customWidth="1" min="4" max="4"/>
    <col width="18" customWidth="1" min="5" max="5"/>
    <col width="14" customWidth="1" min="6" max="6"/>
    <col width="12" customWidth="1" min="7" max="7"/>
    <col width="11" customWidth="1" min="8" max="8"/>
    <col width="12" customWidth="1" min="9" max="9"/>
    <col width="50" customWidth="1" min="10" max="10"/>
  </cols>
  <sheetData>
    <row r="1" ht="30" customHeight="1">
      <c r="A1" s="14" t="inlineStr">
        <is>
          <t>carte</t>
        </is>
      </c>
      <c r="B1" s="14" t="inlineStr">
        <is>
          <t>regle</t>
        </is>
      </c>
      <c r="C1" s="14" t="inlineStr">
        <is>
          <t>texte</t>
        </is>
      </c>
      <c r="D1" s="14" t="inlineStr">
        <is>
          <t>statut</t>
        </is>
      </c>
      <c r="E1" s="14" t="inlineStr">
        <is>
          <t>programmes</t>
        </is>
      </c>
      <c r="F1" s="14" t="inlineStr">
        <is>
          <t>tailles</t>
        </is>
      </c>
      <c r="G1" s="14" t="inlineStr">
        <is>
          <t>phase</t>
        </is>
      </c>
      <c r="H1" s="14" t="inlineStr">
        <is>
          <t>bloquante</t>
        </is>
      </c>
      <c r="I1" s="14" t="inlineStr">
        <is>
          <t>essentielle</t>
        </is>
      </c>
      <c r="J1" s="14" t="inlineStr">
        <is>
          <t>source_url</t>
        </is>
      </c>
      <c r="K1" s="14" t="inlineStr">
        <is>
          <t>variantes</t>
        </is>
      </c>
    </row>
    <row r="2" ht="58" customHeight="1">
      <c r="A2" s="25" t="inlineStr">
        <is>
          <t>trading, payouts, ou live (programme de compte reel, replie sous Payouts).</t>
        </is>
      </c>
      <c r="B2" s="25" t="inlineStr">
        <is>
          <t>Le nom court de la regle : « Overnight holding ».</t>
        </is>
      </c>
      <c r="C2" s="25" t="inlineStr">
        <is>
          <t>Ce que dit la firme, sans reformuler au-dela.</t>
        </is>
      </c>
      <c r="D2" s="25" t="inlineStr">
        <is>
          <t>confirmed, not_published, not_applicable, needs_confirmation ou source_conflict.</t>
        </is>
      </c>
      <c r="E2" s="25" t="inlineStr">
        <is>
          <t>Slugs concernes, separes par des virgules. Vide : tous.</t>
        </is>
      </c>
      <c r="F2" s="25" t="inlineStr">
        <is>
          <t>Tailles concernees (25000, 50000…). Vide : toutes.</t>
        </is>
      </c>
      <c r="G2" s="25" t="inlineStr">
        <is>
          <t>evaluation, evaluation_2 ou funded. Vide : toutes les phases.</t>
        </is>
      </c>
      <c r="H2" s="25" t="inlineStr">
        <is>
          <t>oui si l'enfreindre fait perdre le compte.</t>
        </is>
      </c>
      <c r="I2" s="25" t="inlineStr">
        <is>
          <t>oui : affichee sur la page. Les autres restent dans le tableur sans s'afficher. Quatre par carte au plus.</t>
        </is>
      </c>
      <c r="J2" s="25" t="inlineStr">
        <is>
          <t>Page officielle. Non affichee.</t>
        </is>
      </c>
      <c r="K2" s="25" t="inlineStr">
        <is>
          <t>Variantes concernees (Day Trade, Swing, NEW...), separees par des virgules. Vide : toutes.</t>
        </is>
      </c>
    </row>
    <row r="3">
      <c r="A3" s="17" t="inlineStr">
        <is>
          <t>trading</t>
        </is>
      </c>
      <c r="B3" s="17" t="inlineStr">
        <is>
          <t>Daily loss</t>
        </is>
      </c>
      <c r="C3" s="17" t="inlineStr">
        <is>
          <t>Measured at 00:00 server time on the higher of the previous balance or equity. Hitting it closes the account.</t>
        </is>
      </c>
      <c r="D3" s="17" t="inlineStr">
        <is>
          <t>confirmed</t>
        </is>
      </c>
      <c r="E3" s="17" t="inlineStr">
        <is>
          <t>high-stakes, pro-growth, summer-plan</t>
        </is>
      </c>
      <c r="F3" s="17" t="n"/>
      <c r="G3" s="17" t="n"/>
      <c r="H3" s="17" t="inlineStr">
        <is>
          <t>oui</t>
        </is>
      </c>
      <c r="I3" s="17" t="inlineStr">
        <is>
          <t>oui</t>
        </is>
      </c>
      <c r="J3" s="17" t="inlineStr">
        <is>
          <t>https://the5ers.com/faqs/what-is-the-drawdown-rule-for-high-stakes/</t>
        </is>
      </c>
    </row>
    <row r="4">
      <c r="A4" s="17" t="inlineStr">
        <is>
          <t>trading</t>
        </is>
      </c>
      <c r="B4" s="17" t="inlineStr">
        <is>
          <t>Daily pause</t>
        </is>
      </c>
      <c r="C4" s="17" t="inlineStr">
        <is>
          <t>Hitting the daily limit does not close the account: it is disabled until 00:00 MT5 server time, and you trade again the next day.</t>
        </is>
      </c>
      <c r="D4" s="17" t="inlineStr">
        <is>
          <t>confirmed</t>
        </is>
      </c>
      <c r="E4" s="17" t="inlineStr">
        <is>
          <t>hyper-growth, bootcamp</t>
        </is>
      </c>
      <c r="F4" s="17" t="n"/>
      <c r="G4" s="17" t="inlineStr">
        <is>
          <t>funded</t>
        </is>
      </c>
      <c r="H4" s="17" t="n"/>
      <c r="I4" s="17" t="inlineStr">
        <is>
          <t>oui</t>
        </is>
      </c>
      <c r="J4" s="17" t="inlineStr">
        <is>
          <t>https://the5ers.com/faqs/how-does-the-daily-pause-work/</t>
        </is>
      </c>
    </row>
    <row r="5">
      <c r="A5" s="16" t="inlineStr">
        <is>
          <t>trading</t>
        </is>
      </c>
      <c r="B5" s="16" t="inlineStr">
        <is>
          <t>Daily loss</t>
        </is>
      </c>
      <c r="C5" s="16" t="inlineStr">
        <is>
          <t>None during the three evaluation steps. The 3% limit only applies once you are funded, and it pauses the account rather than closing it.</t>
        </is>
      </c>
      <c r="D5" s="16" t="inlineStr">
        <is>
          <t>confirmed</t>
        </is>
      </c>
      <c r="E5" s="16" t="inlineStr">
        <is>
          <t>bootcamp</t>
        </is>
      </c>
      <c r="F5" s="16" t="n"/>
      <c r="G5" s="16" t="inlineStr">
        <is>
          <t>evaluation</t>
        </is>
      </c>
      <c r="H5" s="16" t="n"/>
      <c r="I5" s="16" t="inlineStr">
        <is>
          <t>oui</t>
        </is>
      </c>
      <c r="J5" s="16" t="inlineStr">
        <is>
          <t>https://the5ers.com/bootcamp/</t>
        </is>
      </c>
    </row>
    <row r="6">
      <c r="A6" s="16" t="inlineStr">
        <is>
          <t>trading</t>
        </is>
      </c>
      <c r="B6" s="16" t="inlineStr">
        <is>
          <t>Maximum loss</t>
        </is>
      </c>
      <c r="C6" s="16" t="inlineStr">
        <is>
          <t>Static: measured against the starting balance, and it never trails your profits.</t>
        </is>
      </c>
      <c r="D6" s="16" t="inlineStr">
        <is>
          <t>confirmed</t>
        </is>
      </c>
      <c r="E6" s="16" t="inlineStr">
        <is>
          <t>high-stakes, pro-growth, hyper-growth, bootcamp, summer-plan</t>
        </is>
      </c>
      <c r="F6" s="16" t="n"/>
      <c r="G6" s="16" t="n"/>
      <c r="H6" s="16" t="inlineStr">
        <is>
          <t>oui</t>
        </is>
      </c>
      <c r="I6" s="16" t="inlineStr">
        <is>
          <t>oui</t>
        </is>
      </c>
      <c r="J6" s="16" t="inlineStr">
        <is>
          <t>https://the5ers.com/faqs/what-is-the-drawdown-rule-for-high-stakes/</t>
        </is>
      </c>
    </row>
    <row r="7">
      <c r="A7" s="16" t="inlineStr">
        <is>
          <t>trading</t>
        </is>
      </c>
      <c r="B7" s="16" t="inlineStr">
        <is>
          <t>Maximum loss</t>
        </is>
      </c>
      <c r="C7" s="16" t="inlineStr">
        <is>
          <t>Trailing on the highest midnight balance or equity, not on the starting balance.</t>
        </is>
      </c>
      <c r="D7" s="16" t="inlineStr">
        <is>
          <t>confirmed</t>
        </is>
      </c>
      <c r="E7" s="16" t="inlineStr">
        <is>
          <t>futures</t>
        </is>
      </c>
      <c r="F7" s="16" t="n"/>
      <c r="G7" s="16" t="n"/>
      <c r="H7" s="16" t="inlineStr">
        <is>
          <t>oui</t>
        </is>
      </c>
      <c r="I7" s="16" t="inlineStr">
        <is>
          <t>oui</t>
        </is>
      </c>
      <c r="J7" s="16" t="inlineStr">
        <is>
          <t>https://the5ers.com/futures-faqs/what-is-my-maximum-drawdown-loss/</t>
        </is>
      </c>
    </row>
    <row r="8">
      <c r="A8" s="16" t="inlineStr">
        <is>
          <t>trading</t>
        </is>
      </c>
      <c r="B8" s="16" t="inlineStr">
        <is>
          <t>Profitable days</t>
        </is>
      </c>
      <c r="C8" s="16" t="inlineStr">
        <is>
          <t>A day counts when closed positions gain at least 0.5% of the starting balance.</t>
        </is>
      </c>
      <c r="D8" s="16" t="inlineStr">
        <is>
          <t>needs_confirmation</t>
        </is>
      </c>
      <c r="E8" s="16" t="inlineStr">
        <is>
          <t>high-stakes, pro-growth</t>
        </is>
      </c>
      <c r="F8" s="16" t="n"/>
      <c r="G8" s="16" t="n"/>
      <c r="H8" s="16" t="n"/>
      <c r="I8" s="16" t="inlineStr">
        <is>
          <t>oui</t>
        </is>
      </c>
      <c r="J8" s="16" t="inlineStr">
        <is>
          <t>https://the5ers.com/high-stakes/</t>
        </is>
      </c>
    </row>
    <row r="9">
      <c r="A9" s="16" t="inlineStr">
        <is>
          <t>trading</t>
        </is>
      </c>
      <c r="B9" s="16" t="inlineStr">
        <is>
          <t>Stop-loss</t>
        </is>
      </c>
      <c r="C9" s="16" t="inlineStr">
        <is>
          <t>Mandatory, placed within three minutes of entry, risking at most 2% of the balance on a position.</t>
        </is>
      </c>
      <c r="D9" s="16" t="inlineStr">
        <is>
          <t>confirmed</t>
        </is>
      </c>
      <c r="E9" s="16" t="inlineStr">
        <is>
          <t>bootcamp</t>
        </is>
      </c>
      <c r="F9" s="16" t="n"/>
      <c r="G9" s="16" t="n"/>
      <c r="H9" s="16" t="inlineStr">
        <is>
          <t>oui</t>
        </is>
      </c>
      <c r="I9" s="16" t="inlineStr">
        <is>
          <t>oui</t>
        </is>
      </c>
      <c r="J9" s="16" t="inlineStr">
        <is>
          <t>https://the5ers.com/bootcamp/</t>
        </is>
      </c>
    </row>
    <row r="10">
      <c r="A10" s="16" t="inlineStr">
        <is>
          <t>trading</t>
        </is>
      </c>
      <c r="B10" s="16" t="inlineStr">
        <is>
          <t>Consistency</t>
        </is>
      </c>
      <c r="C10" s="16" t="inlineStr">
        <is>
          <t>Your best day may not carry more than 50% of the total profit once funded.</t>
        </is>
      </c>
      <c r="D10" s="16" t="inlineStr">
        <is>
          <t>confirmed</t>
        </is>
      </c>
      <c r="E10" s="16" t="inlineStr">
        <is>
          <t>summer-plan</t>
        </is>
      </c>
      <c r="F10" s="16" t="n"/>
      <c r="G10" s="16" t="inlineStr">
        <is>
          <t>funded</t>
        </is>
      </c>
      <c r="H10" s="16" t="n"/>
      <c r="I10" s="16" t="inlineStr">
        <is>
          <t>oui</t>
        </is>
      </c>
      <c r="J10" s="16" t="inlineStr">
        <is>
          <t>https://the5ers.com/summer-plan/</t>
        </is>
      </c>
    </row>
    <row r="11">
      <c r="A11" s="16" t="inlineStr">
        <is>
          <t>trading</t>
        </is>
      </c>
      <c r="B11" s="16" t="inlineStr">
        <is>
          <t>Consistency</t>
        </is>
      </c>
      <c r="C11" s="16" t="inlineStr">
        <is>
          <t>One position may not carry more than 40% of the total profit.</t>
        </is>
      </c>
      <c r="D11" s="16" t="inlineStr">
        <is>
          <t>confirmed</t>
        </is>
      </c>
      <c r="E11" s="16" t="inlineStr">
        <is>
          <t>futures</t>
        </is>
      </c>
      <c r="F11" s="16" t="n"/>
      <c r="G11" s="16" t="n"/>
      <c r="H11" s="16" t="n"/>
      <c r="I11" s="16" t="inlineStr">
        <is>
          <t>oui</t>
        </is>
      </c>
      <c r="J11" s="16" t="inlineStr">
        <is>
          <t>https://the5ers.com/futures/</t>
        </is>
      </c>
    </row>
    <row r="12">
      <c r="A12" s="16" t="inlineStr">
        <is>
          <t>trading</t>
        </is>
      </c>
      <c r="B12" s="16" t="inlineStr">
        <is>
          <t>Consistency</t>
        </is>
      </c>
      <c r="C12" s="16" t="inlineStr">
        <is>
          <t>Not published for this program. The firm states only that the percentage varies by account type and region.</t>
        </is>
      </c>
      <c r="D12" s="16" t="inlineStr">
        <is>
          <t>not_published</t>
        </is>
      </c>
      <c r="E12" s="16" t="inlineStr">
        <is>
          <t>high-stakes, pro-growth, hyper-growth, bootcamp</t>
        </is>
      </c>
      <c r="F12" s="16" t="n"/>
      <c r="G12" s="16" t="n"/>
      <c r="H12" s="16" t="n"/>
      <c r="I12" s="16" t="n"/>
      <c r="J12" s="16" t="inlineStr">
        <is>
          <t>https://the5ers.com/faqs/</t>
        </is>
      </c>
    </row>
    <row r="13">
      <c r="A13" s="16" t="inlineStr">
        <is>
          <t>trading</t>
        </is>
      </c>
      <c r="B13" s="16" t="inlineStr">
        <is>
          <t>Time limit</t>
        </is>
      </c>
      <c r="C13" s="16" t="inlineStr">
        <is>
          <t>None: no evaluation has a deadline.</t>
        </is>
      </c>
      <c r="D13" s="16" t="inlineStr">
        <is>
          <t>confirmed</t>
        </is>
      </c>
      <c r="E13" s="16" t="n"/>
      <c r="F13" s="16" t="n"/>
      <c r="G13" s="16" t="inlineStr">
        <is>
          <t>evaluation</t>
        </is>
      </c>
      <c r="H13" s="16" t="n"/>
      <c r="I13" s="16" t="inlineStr">
        <is>
          <t>oui</t>
        </is>
      </c>
      <c r="J13" s="16" t="inlineStr">
        <is>
          <t>https://the5ers.com/high-stakes/</t>
        </is>
      </c>
    </row>
    <row r="14">
      <c r="A14" s="16" t="inlineStr">
        <is>
          <t>trading</t>
        </is>
      </c>
      <c r="B14" s="16" t="inlineStr">
        <is>
          <t>Instruments</t>
        </is>
      </c>
      <c r="C14" s="16" t="inlineStr">
        <is>
          <t>Forex, metals, indices, energy and crypto, as CFDs.</t>
        </is>
      </c>
      <c r="D14" s="16" t="inlineStr">
        <is>
          <t>confirmed</t>
        </is>
      </c>
      <c r="E14" s="16" t="inlineStr">
        <is>
          <t>high-stakes, pro-growth, hyper-growth, bootcamp, summer-plan</t>
        </is>
      </c>
      <c r="F14" s="16" t="n"/>
      <c r="G14" s="16" t="n"/>
      <c r="H14" s="16" t="n"/>
      <c r="I14" s="16" t="inlineStr">
        <is>
          <t>oui</t>
        </is>
      </c>
      <c r="J14" s="16" t="inlineStr">
        <is>
          <t>https://the5ers.com/faqs/what-instruments-can-i-trade/</t>
        </is>
      </c>
    </row>
    <row r="15">
      <c r="A15" s="16" t="inlineStr">
        <is>
          <t>trading</t>
        </is>
      </c>
      <c r="B15" s="16" t="inlineStr">
        <is>
          <t>Instruments</t>
        </is>
      </c>
      <c r="C15" s="16" t="inlineStr">
        <is>
          <t>CME futures, in mini and micro contracts.</t>
        </is>
      </c>
      <c r="D15" s="16" t="inlineStr">
        <is>
          <t>confirmed</t>
        </is>
      </c>
      <c r="E15" s="16" t="inlineStr">
        <is>
          <t>futures</t>
        </is>
      </c>
      <c r="F15" s="16" t="n"/>
      <c r="G15" s="16" t="n"/>
      <c r="H15" s="16" t="n"/>
      <c r="I15" s="16" t="inlineStr">
        <is>
          <t>oui</t>
        </is>
      </c>
      <c r="J15" s="16" t="inlineStr">
        <is>
          <t>https://the5ers.com/futures/</t>
        </is>
      </c>
    </row>
    <row r="16">
      <c r="A16" s="16" t="inlineStr">
        <is>
          <t>trading</t>
        </is>
      </c>
      <c r="B16" s="16" t="inlineStr">
        <is>
          <t>Trading hours</t>
        </is>
      </c>
      <c r="C16" s="16" t="inlineStr">
        <is>
          <t>Forex and crypto 00:05-23:55 EET; metals, indices and commodities 01:05-23:50. Crypto is the only market open at the weekend.</t>
        </is>
      </c>
      <c r="D16" s="16" t="inlineStr">
        <is>
          <t>confirmed</t>
        </is>
      </c>
      <c r="E16" s="16" t="inlineStr">
        <is>
          <t>high-stakes, pro-growth, hyper-growth, bootcamp, summer-plan</t>
        </is>
      </c>
      <c r="F16" s="16" t="n"/>
      <c r="G16" s="16" t="n"/>
      <c r="H16" s="16" t="n"/>
      <c r="I16" s="16" t="n"/>
      <c r="J16" s="16" t="inlineStr">
        <is>
          <t>https://the5ers.com/faqs/market-trading-hours/</t>
        </is>
      </c>
    </row>
    <row r="17">
      <c r="A17" s="16" t="inlineStr">
        <is>
          <t>trading</t>
        </is>
      </c>
      <c r="B17" s="16" t="inlineStr">
        <is>
          <t>Trading hours</t>
        </is>
      </c>
      <c r="C17" s="16" t="inlineStr">
        <is>
          <t>Sunday 17:00 CT to Friday 16:00 CT, with a maintenance break from 16:00 to 17:00 CT.</t>
        </is>
      </c>
      <c r="D17" s="16" t="inlineStr">
        <is>
          <t>confirmed</t>
        </is>
      </c>
      <c r="E17" s="16" t="inlineStr">
        <is>
          <t>futures</t>
        </is>
      </c>
      <c r="F17" s="16" t="n"/>
      <c r="G17" s="16" t="n"/>
      <c r="H17" s="16" t="n"/>
      <c r="I17" s="16" t="inlineStr">
        <is>
          <t>oui</t>
        </is>
      </c>
      <c r="J17" s="16" t="inlineStr">
        <is>
          <t>https://the5ers.com/futures-faqs/futures-market-hours/</t>
        </is>
      </c>
    </row>
    <row r="18">
      <c r="A18" s="16" t="inlineStr">
        <is>
          <t>trading</t>
        </is>
      </c>
      <c r="B18" s="16" t="inlineStr">
        <is>
          <t>Overnight and weekend</t>
        </is>
      </c>
      <c r="C18" s="16" t="inlineStr">
        <is>
          <t>Allowed on every CFD program. Holding indices over the weekend is permitted, with higher swaps.</t>
        </is>
      </c>
      <c r="D18" s="16" t="inlineStr">
        <is>
          <t>confirmed</t>
        </is>
      </c>
      <c r="E18" s="16" t="inlineStr">
        <is>
          <t>high-stakes, pro-growth, hyper-growth, bootcamp, summer-plan</t>
        </is>
      </c>
      <c r="F18" s="16" t="n"/>
      <c r="G18" s="16" t="n"/>
      <c r="H18" s="16" t="n"/>
      <c r="I18" s="16" t="inlineStr">
        <is>
          <t>oui</t>
        </is>
      </c>
      <c r="J18" s="16" t="inlineStr">
        <is>
          <t>https://the5ers.com/faqs/do-i-have-to-close-my-positions-overnight/</t>
        </is>
      </c>
    </row>
    <row r="19">
      <c r="A19" s="16" t="inlineStr">
        <is>
          <t>trading</t>
        </is>
      </c>
      <c r="B19" s="16" t="inlineStr">
        <is>
          <t>Overnight and weekend</t>
        </is>
      </c>
      <c r="C19" s="16" t="inlineStr">
        <is>
          <t>Everything must be closed before 16:50 CT. Nothing is held overnight or over the weekend.</t>
        </is>
      </c>
      <c r="D19" s="16" t="inlineStr">
        <is>
          <t>confirmed</t>
        </is>
      </c>
      <c r="E19" s="16" t="inlineStr">
        <is>
          <t>futures</t>
        </is>
      </c>
      <c r="F19" s="16" t="n"/>
      <c r="G19" s="16" t="n"/>
      <c r="H19" s="16" t="inlineStr">
        <is>
          <t>oui</t>
        </is>
      </c>
      <c r="I19" s="16" t="inlineStr">
        <is>
          <t>oui</t>
        </is>
      </c>
      <c r="J19" s="16" t="inlineStr">
        <is>
          <t>https://the5ers.com/futures-faqs/overnight-holding-2/</t>
        </is>
      </c>
      <c r="K19" t="inlineStr">
        <is>
          <t>Day Trade</t>
        </is>
      </c>
    </row>
    <row r="20">
      <c r="A20" s="16" t="inlineStr">
        <is>
          <t>trading</t>
        </is>
      </c>
      <c r="B20" s="16" t="inlineStr">
        <is>
          <t>Overnight and weekend</t>
        </is>
      </c>
      <c r="C20" s="16" t="inlineStr">
        <is>
          <t>Up to one mini or ten micros may be held overnight, and the position must be reduced before 16:50 CT. Nothing is held over the weekend.</t>
        </is>
      </c>
      <c r="D20" s="16" t="inlineStr">
        <is>
          <t>confirmed</t>
        </is>
      </c>
      <c r="E20" s="16" t="inlineStr">
        <is>
          <t>futures</t>
        </is>
      </c>
      <c r="F20" s="16" t="n"/>
      <c r="G20" s="16" t="n"/>
      <c r="H20" s="16" t="inlineStr">
        <is>
          <t>oui</t>
        </is>
      </c>
      <c r="I20" s="16" t="inlineStr">
        <is>
          <t>oui</t>
        </is>
      </c>
      <c r="J20" s="16" t="inlineStr">
        <is>
          <t>https://the5ers.com/futures-faqs/overnight-holding-2/</t>
        </is>
      </c>
      <c r="K20" t="inlineStr">
        <is>
          <t>Swing</t>
        </is>
      </c>
    </row>
    <row r="21">
      <c r="A21" s="16" t="inlineStr">
        <is>
          <t>trading</t>
        </is>
      </c>
      <c r="B21" s="16" t="inlineStr">
        <is>
          <t>News trading</t>
        </is>
      </c>
      <c r="C21" s="16" t="inlineStr">
        <is>
          <t>Allowed, but no order may be executed from two minutes before to two minutes after a high-impact release. Profits made in that window are removed; losses stay.</t>
        </is>
      </c>
      <c r="D21" s="16" t="inlineStr">
        <is>
          <t>confirmed</t>
        </is>
      </c>
      <c r="E21" s="16" t="inlineStr">
        <is>
          <t>high-stakes, summer-plan</t>
        </is>
      </c>
      <c r="F21" s="16" t="n"/>
      <c r="G21" s="16" t="n"/>
      <c r="H21" s="16" t="inlineStr">
        <is>
          <t>oui</t>
        </is>
      </c>
      <c r="I21" s="16" t="inlineStr">
        <is>
          <t>oui</t>
        </is>
      </c>
      <c r="J21" s="16" t="inlineStr">
        <is>
          <t>https://the5ers.com/faqs/can-i-trade-during-news/</t>
        </is>
      </c>
    </row>
    <row r="22">
      <c r="A22" s="16" t="inlineStr">
        <is>
          <t>trading</t>
        </is>
      </c>
      <c r="B22" s="16" t="inlineStr">
        <is>
          <t>News trading</t>
        </is>
      </c>
      <c r="C22" s="16" t="inlineStr">
        <is>
          <t>Allowed, except strategies that bracket the release.</t>
        </is>
      </c>
      <c r="D22" s="16" t="inlineStr">
        <is>
          <t>confirmed</t>
        </is>
      </c>
      <c r="E22" s="16" t="inlineStr">
        <is>
          <t>pro-growth, hyper-growth, bootcamp</t>
        </is>
      </c>
      <c r="F22" s="16" t="n"/>
      <c r="G22" s="16" t="n"/>
      <c r="H22" s="16" t="n"/>
      <c r="I22" s="16" t="inlineStr">
        <is>
          <t>oui</t>
        </is>
      </c>
      <c r="J22" s="16" t="inlineStr">
        <is>
          <t>https://the5ers.com/faqs/can-i-trade-during-news/</t>
        </is>
      </c>
    </row>
    <row r="23">
      <c r="A23" s="16" t="inlineStr">
        <is>
          <t>trading</t>
        </is>
      </c>
      <c r="B23" s="16" t="inlineStr">
        <is>
          <t>News trading</t>
        </is>
      </c>
      <c r="C23" s="16" t="inlineStr">
        <is>
          <t>Allowed.</t>
        </is>
      </c>
      <c r="D23" s="16" t="inlineStr">
        <is>
          <t>confirmed</t>
        </is>
      </c>
      <c r="E23" s="16" t="inlineStr">
        <is>
          <t>futures</t>
        </is>
      </c>
      <c r="F23" s="16" t="n"/>
      <c r="G23" s="16" t="n"/>
      <c r="H23" s="16" t="n"/>
      <c r="I23" s="16" t="inlineStr">
        <is>
          <t>oui</t>
        </is>
      </c>
      <c r="J23" s="16" t="inlineStr">
        <is>
          <t>https://the5ers.com/futures/</t>
        </is>
      </c>
    </row>
    <row r="24">
      <c r="A24" s="16" t="inlineStr">
        <is>
          <t>trading</t>
        </is>
      </c>
      <c r="B24" s="16" t="inlineStr">
        <is>
          <t>Expert advisors</t>
        </is>
      </c>
      <c r="C24" s="16" t="inlineStr">
        <is>
          <t>Allowed when you own the source code. Copied signals, tick scalping, latency or hedge arbitrage, HFT and emulators are not. A hidden stop-loss is a breach.</t>
        </is>
      </c>
      <c r="D24" s="16" t="inlineStr">
        <is>
          <t>confirmed</t>
        </is>
      </c>
      <c r="E24" s="16" t="inlineStr">
        <is>
          <t>high-stakes, pro-growth, hyper-growth, bootcamp, summer-plan</t>
        </is>
      </c>
      <c r="F24" s="16" t="n"/>
      <c r="G24" s="16" t="n"/>
      <c r="H24" s="16" t="inlineStr">
        <is>
          <t>oui</t>
        </is>
      </c>
      <c r="I24" s="16" t="inlineStr">
        <is>
          <t>oui</t>
        </is>
      </c>
      <c r="J24" s="16" t="inlineStr">
        <is>
          <t>https://the5ers.com/faqs/can-i-use-an-ea-expert-advisor-can-i-set-a-stealth-mode-stop-loss/</t>
        </is>
      </c>
    </row>
    <row r="25">
      <c r="A25" s="16" t="inlineStr">
        <is>
          <t>trading</t>
        </is>
      </c>
      <c r="B25" s="16" t="inlineStr">
        <is>
          <t>Expert advisors</t>
        </is>
      </c>
      <c r="C25" s="16" t="inlineStr">
        <is>
          <t>High-frequency trading, algorithmic trading and hedging are not allowed.</t>
        </is>
      </c>
      <c r="D25" s="16" t="inlineStr">
        <is>
          <t>confirmed</t>
        </is>
      </c>
      <c r="E25" s="16" t="inlineStr">
        <is>
          <t>futures</t>
        </is>
      </c>
      <c r="F25" s="16" t="n"/>
      <c r="G25" s="16" t="n"/>
      <c r="H25" s="16" t="inlineStr">
        <is>
          <t>oui</t>
        </is>
      </c>
      <c r="I25" s="16" t="inlineStr">
        <is>
          <t>oui</t>
        </is>
      </c>
      <c r="J25" s="16" t="inlineStr">
        <is>
          <t>https://the5ers.com/futures-faqs/is-high-frequency-algorithmic-trading-and-hedging-allowed/</t>
        </is>
      </c>
    </row>
    <row r="26">
      <c r="A26" s="16" t="inlineStr">
        <is>
          <t>trading</t>
        </is>
      </c>
      <c r="B26" s="16" t="inlineStr">
        <is>
          <t>Copy trading</t>
        </is>
      </c>
      <c r="C26" s="16" t="inlineStr">
        <is>
          <t>You may copy your own trades between your own accounts. Copying someone else's is a breach.</t>
        </is>
      </c>
      <c r="D26" s="16" t="inlineStr">
        <is>
          <t>confirmed</t>
        </is>
      </c>
      <c r="E26" s="16" t="n"/>
      <c r="F26" s="16" t="n"/>
      <c r="G26" s="16" t="n"/>
      <c r="H26" s="16" t="inlineStr">
        <is>
          <t>oui</t>
        </is>
      </c>
      <c r="I26" s="16" t="inlineStr">
        <is>
          <t>oui</t>
        </is>
      </c>
      <c r="J26" s="16" t="inlineStr">
        <is>
          <t>https://the5ers.com/faqs/can-i-copy-my-own-trades/</t>
        </is>
      </c>
    </row>
    <row r="27">
      <c r="A27" s="16" t="inlineStr">
        <is>
          <t>trading</t>
        </is>
      </c>
      <c r="B27" s="16" t="inlineStr">
        <is>
          <t>Leverage</t>
        </is>
      </c>
      <c r="C27" s="16" t="inlineStr">
        <is>
          <t>1:100 on forex, 1:25 on indices and metals, 1:5 on commodities, 1:2 on crypto.</t>
        </is>
      </c>
      <c r="D27" s="16" t="inlineStr">
        <is>
          <t>confirmed</t>
        </is>
      </c>
      <c r="E27" s="16" t="inlineStr">
        <is>
          <t>high-stakes</t>
        </is>
      </c>
      <c r="F27" s="16" t="n"/>
      <c r="G27" s="16" t="n"/>
      <c r="H27" s="16" t="n"/>
      <c r="I27" s="16" t="inlineStr">
        <is>
          <t>oui</t>
        </is>
      </c>
      <c r="J27" s="16" t="inlineStr">
        <is>
          <t>https://the5ers.com/faqs/what-is-the-leverage-in-the-high-stakes-program/</t>
        </is>
      </c>
    </row>
    <row r="28">
      <c r="A28" s="16" t="inlineStr">
        <is>
          <t>trading</t>
        </is>
      </c>
      <c r="B28" s="16" t="inlineStr">
        <is>
          <t>Leverage</t>
        </is>
      </c>
      <c r="C28" s="16" t="inlineStr">
        <is>
          <t>1:30 on forex, 1:25 on indices and metals, 1:1.5 on commodities, 1:0.6 on crypto.</t>
        </is>
      </c>
      <c r="D28" s="16" t="inlineStr">
        <is>
          <t>confirmed</t>
        </is>
      </c>
      <c r="E28" s="16" t="inlineStr">
        <is>
          <t>pro-growth, hyper-growth, bootcamp</t>
        </is>
      </c>
      <c r="F28" s="16" t="n"/>
      <c r="G28" s="16" t="n"/>
      <c r="H28" s="16" t="n"/>
      <c r="I28" s="16" t="inlineStr">
        <is>
          <t>oui</t>
        </is>
      </c>
      <c r="J28" s="16" t="inlineStr">
        <is>
          <t>https://the5ers.com/faqs/what-is-the-leverage-in-the-progrowth-program/</t>
        </is>
      </c>
    </row>
    <row r="29">
      <c r="A29" s="16" t="inlineStr">
        <is>
          <t>trading</t>
        </is>
      </c>
      <c r="B29" s="16" t="inlineStr">
        <is>
          <t>Leverage</t>
        </is>
      </c>
      <c r="C29" s="16" t="inlineStr">
        <is>
          <t>1:100 overall. The firm does not publish a figure per asset class for this campaign.</t>
        </is>
      </c>
      <c r="D29" s="16" t="inlineStr">
        <is>
          <t>not_published</t>
        </is>
      </c>
      <c r="E29" s="16" t="inlineStr">
        <is>
          <t>summer-plan</t>
        </is>
      </c>
      <c r="F29" s="16" t="n"/>
      <c r="G29" s="16" t="n"/>
      <c r="H29" s="16" t="n"/>
      <c r="I29" s="16" t="inlineStr">
        <is>
          <t>oui</t>
        </is>
      </c>
      <c r="J29" s="16" t="inlineStr">
        <is>
          <t>https://the5ers.com/summer-plan/</t>
        </is>
      </c>
    </row>
    <row r="30">
      <c r="A30" s="16" t="inlineStr">
        <is>
          <t>trading</t>
        </is>
      </c>
      <c r="B30" s="16" t="inlineStr">
        <is>
          <t>Leverage</t>
        </is>
      </c>
      <c r="C30" s="16" t="inlineStr">
        <is>
          <t>None: futures are traded in contracts, not on leverage.</t>
        </is>
      </c>
      <c r="D30" s="16" t="inlineStr">
        <is>
          <t>not_applicable</t>
        </is>
      </c>
      <c r="E30" s="16" t="inlineStr">
        <is>
          <t>futures</t>
        </is>
      </c>
      <c r="F30" s="16" t="n"/>
      <c r="G30" s="16" t="n"/>
      <c r="H30" s="16" t="n"/>
      <c r="I30" s="16" t="n"/>
      <c r="J30" s="16" t="inlineStr">
        <is>
          <t>https://the5ers.com/futures/</t>
        </is>
      </c>
    </row>
    <row r="31">
      <c r="A31" s="16" t="inlineStr">
        <is>
          <t>trading</t>
        </is>
      </c>
      <c r="B31" s="16" t="inlineStr">
        <is>
          <t>Platforms</t>
        </is>
      </c>
      <c r="C31" s="16" t="inlineStr">
        <is>
          <t>MetaTrader 5, cTrader (+$10) or TradingView. US clients are offered TradingView only, and the choice is final once you buy.</t>
        </is>
      </c>
      <c r="D31" s="16" t="inlineStr">
        <is>
          <t>confirmed</t>
        </is>
      </c>
      <c r="E31" s="16" t="inlineStr">
        <is>
          <t>high-stakes, pro-growth, hyper-growth, bootcamp, summer-plan</t>
        </is>
      </c>
      <c r="F31" s="16" t="n"/>
      <c r="G31" s="16" t="n"/>
      <c r="H31" s="16" t="n"/>
      <c r="I31" s="16" t="inlineStr">
        <is>
          <t>oui</t>
        </is>
      </c>
      <c r="J31" s="16" t="inlineStr">
        <is>
          <t>https://the5ers.com/faqs/which-trading-platform-do-you-use/</t>
        </is>
      </c>
    </row>
    <row r="32">
      <c r="A32" s="16" t="inlineStr">
        <is>
          <t>trading</t>
        </is>
      </c>
      <c r="B32" s="16" t="inlineStr">
        <is>
          <t>Platforms</t>
        </is>
      </c>
      <c r="C32" s="16" t="inlineStr">
        <is>
          <t>BlackArrow only, on Windows, macOS, iOS, Android and the browser.</t>
        </is>
      </c>
      <c r="D32" s="16" t="inlineStr">
        <is>
          <t>confirmed</t>
        </is>
      </c>
      <c r="E32" s="16" t="inlineStr">
        <is>
          <t>futures</t>
        </is>
      </c>
      <c r="F32" s="16" t="n"/>
      <c r="G32" s="16" t="n"/>
      <c r="H32" s="16" t="n"/>
      <c r="I32" s="16" t="inlineStr">
        <is>
          <t>oui</t>
        </is>
      </c>
      <c r="J32" s="16" t="inlineStr">
        <is>
          <t>https://the5ers.com/futures-faqs/what-trading-platform-can-i-use-with-the5ers-futures/</t>
        </is>
      </c>
    </row>
    <row r="33">
      <c r="A33" s="16" t="inlineStr">
        <is>
          <t>trading</t>
        </is>
      </c>
      <c r="B33" s="16" t="inlineStr">
        <is>
          <t>Inactivity</t>
        </is>
      </c>
      <c r="C33" s="16" t="inlineStr">
        <is>
          <t>30 days without a trade during the evaluation, 60 days once funded.</t>
        </is>
      </c>
      <c r="D33" s="16" t="inlineStr">
        <is>
          <t>confirmed</t>
        </is>
      </c>
      <c r="E33" s="16" t="inlineStr">
        <is>
          <t>high-stakes, pro-growth, hyper-growth, bootcamp, summer-plan</t>
        </is>
      </c>
      <c r="F33" s="16" t="n"/>
      <c r="G33" s="16" t="n"/>
      <c r="H33" s="16" t="inlineStr">
        <is>
          <t>oui</t>
        </is>
      </c>
      <c r="I33" s="16" t="n"/>
      <c r="J33" s="16" t="inlineStr">
        <is>
          <t>https://the5ers.com/faqs/prohibited-trading-practices/</t>
        </is>
      </c>
    </row>
    <row r="34">
      <c r="A34" s="16" t="inlineStr">
        <is>
          <t>trading</t>
        </is>
      </c>
      <c r="B34" s="16" t="inlineStr">
        <is>
          <t>Inactivity</t>
        </is>
      </c>
      <c r="C34" s="16" t="inlineStr">
        <is>
          <t>14 calendar days without a trade.</t>
        </is>
      </c>
      <c r="D34" s="16" t="inlineStr">
        <is>
          <t>confirmed</t>
        </is>
      </c>
      <c r="E34" s="16" t="inlineStr">
        <is>
          <t>futures</t>
        </is>
      </c>
      <c r="F34" s="16" t="n"/>
      <c r="G34" s="16" t="n"/>
      <c r="H34" s="16" t="inlineStr">
        <is>
          <t>oui</t>
        </is>
      </c>
      <c r="I34" s="16" t="n"/>
      <c r="J34" s="16" t="inlineStr">
        <is>
          <t>https://the5ers.com/faqs/prohibited-trading-practices/</t>
        </is>
      </c>
    </row>
    <row r="35">
      <c r="A35" s="16" t="inlineStr">
        <is>
          <t>payouts</t>
        </is>
      </c>
      <c r="B35" s="16" t="inlineStr">
        <is>
          <t>Payout schedule</t>
        </is>
      </c>
      <c r="C35" s="16" t="inlineStr">
        <is>
          <t>The first payout comes 14 days after the funded account opens, then every 14 days. The clock restarts at each scaling step.</t>
        </is>
      </c>
      <c r="D35" s="16" t="inlineStr">
        <is>
          <t>confirmed</t>
        </is>
      </c>
      <c r="E35" s="16" t="n"/>
      <c r="F35" s="16" t="n"/>
      <c r="G35" s="16" t="inlineStr">
        <is>
          <t>funded</t>
        </is>
      </c>
      <c r="H35" s="16" t="n"/>
      <c r="I35" s="16" t="inlineStr">
        <is>
          <t>oui</t>
        </is>
      </c>
      <c r="J35" s="16" t="inlineStr">
        <is>
          <t>https://the5ers.com/faqs/withdrawals-everything-you-need-to-know/</t>
        </is>
      </c>
    </row>
    <row r="36">
      <c r="A36" s="16" t="inlineStr">
        <is>
          <t>payouts</t>
        </is>
      </c>
      <c r="B36" s="16" t="inlineStr">
        <is>
          <t>Minimum withdrawal</t>
        </is>
      </c>
      <c r="C36" s="16" t="inlineStr">
        <is>
          <t>$150 of profit as a rule; $300 on the $50K and $500 on the $100K.</t>
        </is>
      </c>
      <c r="D36" s="16" t="inlineStr">
        <is>
          <t>confirmed</t>
        </is>
      </c>
      <c r="E36" s="16" t="inlineStr">
        <is>
          <t>high-stakes</t>
        </is>
      </c>
      <c r="F36" s="16" t="n"/>
      <c r="G36" s="16" t="inlineStr">
        <is>
          <t>funded</t>
        </is>
      </c>
      <c r="H36" s="16" t="n"/>
      <c r="I36" s="16" t="inlineStr">
        <is>
          <t>oui</t>
        </is>
      </c>
      <c r="J36" s="16" t="inlineStr">
        <is>
          <t>https://the5ers.com/faqs/withdrawals-everything-you-need-to-know/</t>
        </is>
      </c>
    </row>
    <row r="37">
      <c r="A37" s="16" t="inlineStr">
        <is>
          <t>payouts</t>
        </is>
      </c>
      <c r="B37" s="16" t="inlineStr">
        <is>
          <t>Minimum withdrawal</t>
        </is>
      </c>
      <c r="C37" s="16" t="inlineStr">
        <is>
          <t>$250, and the payout is capped per request.</t>
        </is>
      </c>
      <c r="D37" s="16" t="inlineStr">
        <is>
          <t>confirmed</t>
        </is>
      </c>
      <c r="E37" s="16" t="inlineStr">
        <is>
          <t>summer-plan</t>
        </is>
      </c>
      <c r="F37" s="16" t="n"/>
      <c r="G37" s="16" t="inlineStr">
        <is>
          <t>funded</t>
        </is>
      </c>
      <c r="H37" s="16" t="n"/>
      <c r="I37" s="16" t="inlineStr">
        <is>
          <t>oui</t>
        </is>
      </c>
      <c r="J37" s="16" t="inlineStr">
        <is>
          <t>https://the5ers.com/summer-plan/</t>
        </is>
      </c>
    </row>
    <row r="38">
      <c r="A38" s="16" t="inlineStr">
        <is>
          <t>payouts</t>
        </is>
      </c>
      <c r="B38" s="16" t="inlineStr">
        <is>
          <t>Minimum withdrawal</t>
        </is>
      </c>
      <c r="C38" s="16" t="inlineStr">
        <is>
          <t>4% of the starting balance, on an account at least 14 days old.</t>
        </is>
      </c>
      <c r="D38" s="16" t="inlineStr">
        <is>
          <t>confirmed</t>
        </is>
      </c>
      <c r="E38" s="16" t="inlineStr">
        <is>
          <t>futures</t>
        </is>
      </c>
      <c r="F38" s="16" t="n"/>
      <c r="G38" s="16" t="inlineStr">
        <is>
          <t>funded</t>
        </is>
      </c>
      <c r="H38" s="16" t="n"/>
      <c r="I38" s="16" t="inlineStr">
        <is>
          <t>oui</t>
        </is>
      </c>
      <c r="J38" s="16" t="inlineStr">
        <is>
          <t>https://the5ers.com/futures-faqs/what-do-i-need-for-a-withdrawal/</t>
        </is>
      </c>
    </row>
    <row r="39">
      <c r="A39" s="16" t="inlineStr">
        <is>
          <t>payouts</t>
        </is>
      </c>
      <c r="B39" s="16" t="inlineStr">
        <is>
          <t>Minimum withdrawal</t>
        </is>
      </c>
      <c r="C39" s="16" t="inlineStr">
        <is>
          <t>Not published for this program.</t>
        </is>
      </c>
      <c r="D39" s="16" t="inlineStr">
        <is>
          <t>not_published</t>
        </is>
      </c>
      <c r="E39" s="16" t="inlineStr">
        <is>
          <t>pro-growth, hyper-growth, bootcamp</t>
        </is>
      </c>
      <c r="F39" s="16" t="n"/>
      <c r="G39" s="16" t="inlineStr">
        <is>
          <t>funded</t>
        </is>
      </c>
      <c r="H39" s="16" t="n"/>
      <c r="I39" s="16" t="n"/>
      <c r="J39" s="16" t="inlineStr">
        <is>
          <t>https://the5ers.com/faqs/withdrawals-everything-you-need-to-know/</t>
        </is>
      </c>
    </row>
    <row r="40">
      <c r="A40" s="16" t="inlineStr">
        <is>
          <t>payouts</t>
        </is>
      </c>
      <c r="B40" s="16" t="inlineStr">
        <is>
          <t>Withdrawal methods</t>
        </is>
      </c>
      <c r="C40" s="16" t="inlineStr">
        <is>
          <t>Rise, crypto or bank transfer, each with a 3.5% fee. Crypto is capped at $1,500 per withdrawal. Hub Credits carry no fee but only buy accounts.</t>
        </is>
      </c>
      <c r="D40" s="16" t="inlineStr">
        <is>
          <t>confirmed</t>
        </is>
      </c>
      <c r="E40" s="16" t="n"/>
      <c r="F40" s="16" t="n"/>
      <c r="G40" s="16" t="inlineStr">
        <is>
          <t>funded</t>
        </is>
      </c>
      <c r="H40" s="16" t="n"/>
      <c r="I40" s="16" t="inlineStr">
        <is>
          <t>oui</t>
        </is>
      </c>
      <c r="J40" s="16" t="inlineStr">
        <is>
          <t>https://the5ers.com/faqs/withdrawals-everything-you-need-to-know/</t>
        </is>
      </c>
    </row>
    <row r="41">
      <c r="A41" s="16" t="inlineStr">
        <is>
          <t>payouts</t>
        </is>
      </c>
      <c r="B41" s="16" t="inlineStr">
        <is>
          <t>Processing</t>
        </is>
      </c>
      <c r="C41" s="16" t="inlineStr">
        <is>
          <t>Reviewed by the risk team within 24 to 48 working hours, then up to three working days.</t>
        </is>
      </c>
      <c r="D41" s="16" t="inlineStr">
        <is>
          <t>confirmed</t>
        </is>
      </c>
      <c r="E41" s="16" t="n"/>
      <c r="F41" s="16" t="n"/>
      <c r="G41" s="16" t="inlineStr">
        <is>
          <t>funded</t>
        </is>
      </c>
      <c r="H41" s="16" t="n"/>
      <c r="I41" s="16" t="n"/>
      <c r="J41" s="16" t="inlineStr">
        <is>
          <t>https://the5ers.com/faqs/withdrawals-everything-you-need-to-know/</t>
        </is>
      </c>
    </row>
    <row r="42">
      <c r="A42" s="16" t="inlineStr">
        <is>
          <t>payouts</t>
        </is>
      </c>
      <c r="B42" s="16" t="inlineStr">
        <is>
          <t>Fee refund</t>
        </is>
      </c>
      <c r="C42" s="16" t="inlineStr">
        <is>
          <t>10% in Hub Credits after step 1, 20% after step 2, and 70% in cash with your first payout.</t>
        </is>
      </c>
      <c r="D42" s="16" t="inlineStr">
        <is>
          <t>confirmed</t>
        </is>
      </c>
      <c r="E42" s="16" t="inlineStr">
        <is>
          <t>high-stakes, summer-plan</t>
        </is>
      </c>
      <c r="F42" s="16" t="n"/>
      <c r="G42" s="16" t="inlineStr">
        <is>
          <t>funded</t>
        </is>
      </c>
      <c r="H42" s="16" t="n"/>
      <c r="I42" s="16" t="inlineStr">
        <is>
          <t>oui</t>
        </is>
      </c>
      <c r="J42" s="16" t="inlineStr">
        <is>
          <t>https://the5ers.com/faqs/payout-policy-and-hub-credit-in-the-high-stakes-program/</t>
        </is>
      </c>
    </row>
    <row r="43">
      <c r="A43" s="16" t="inlineStr">
        <is>
          <t>payouts</t>
        </is>
      </c>
      <c r="B43" s="16" t="inlineStr">
        <is>
          <t>Fee refund</t>
        </is>
      </c>
      <c r="C43" s="16" t="inlineStr">
        <is>
          <t>Refunded in full at your third payout.</t>
        </is>
      </c>
      <c r="D43" s="16" t="inlineStr">
        <is>
          <t>confirmed</t>
        </is>
      </c>
      <c r="E43" s="16" t="inlineStr">
        <is>
          <t>futures</t>
        </is>
      </c>
      <c r="F43" s="16" t="n"/>
      <c r="G43" s="16" t="inlineStr">
        <is>
          <t>funded</t>
        </is>
      </c>
      <c r="H43" s="16" t="n"/>
      <c r="I43" s="16" t="inlineStr">
        <is>
          <t>oui</t>
        </is>
      </c>
      <c r="J43" s="16" t="inlineStr">
        <is>
          <t>https://the5ers.com/futures-faqs/evaluation-fee-refund/</t>
        </is>
      </c>
    </row>
    <row r="44">
      <c r="A44" s="16" t="inlineStr">
        <is>
          <t>payouts</t>
        </is>
      </c>
      <c r="B44" s="16" t="inlineStr">
        <is>
          <t>Fee refund</t>
        </is>
      </c>
      <c r="C44" s="16" t="inlineStr">
        <is>
          <t>Not refunded.</t>
        </is>
      </c>
      <c r="D44" s="16" t="inlineStr">
        <is>
          <t>confirmed</t>
        </is>
      </c>
      <c r="E44" s="16" t="inlineStr">
        <is>
          <t>hyper-growth</t>
        </is>
      </c>
      <c r="F44" s="16" t="n"/>
      <c r="G44" s="16" t="n"/>
      <c r="H44" s="16" t="n"/>
      <c r="I44" s="16" t="inlineStr">
        <is>
          <t>oui</t>
        </is>
      </c>
      <c r="J44" s="16" t="inlineStr">
        <is>
          <t>https://the5ers.com/faqs/how-does-the-hyper-growth-program-work/</t>
        </is>
      </c>
    </row>
    <row r="45">
      <c r="A45" s="16" t="inlineStr">
        <is>
          <t>payouts</t>
        </is>
      </c>
      <c r="B45" s="16" t="inlineStr">
        <is>
          <t>Reset</t>
        </is>
      </c>
      <c r="C45" s="16" t="inlineStr">
        <is>
          <t>No reset product is sold. A new attempt means buying the evaluation again; the terms mention an additional fee without publishing it.</t>
        </is>
      </c>
      <c r="D45" s="16" t="inlineStr">
        <is>
          <t>not_published</t>
        </is>
      </c>
      <c r="E45" s="16" t="n"/>
      <c r="F45" s="16" t="n"/>
      <c r="G45" s="16" t="n"/>
      <c r="H45" s="16" t="n"/>
      <c r="I45" s="16" t="inlineStr">
        <is>
          <t>oui</t>
        </is>
      </c>
      <c r="J45" s="16" t="inlineStr">
        <is>
          <t>https://the5ers.com/terms-and-conditions/</t>
        </is>
      </c>
    </row>
    <row r="46">
      <c r="A46" s="16" t="inlineStr">
        <is>
          <t>live</t>
        </is>
      </c>
      <c r="B46" s="16" t="inlineStr">
        <is>
          <t>Scaling</t>
        </is>
      </c>
      <c r="C46" s="16" t="inlineStr">
        <is>
          <t>The balance grows 10% per step up to $500,000, and your share rises from 80% to 100% along the way.</t>
        </is>
      </c>
      <c r="D46" s="16" t="inlineStr">
        <is>
          <t>confirmed</t>
        </is>
      </c>
      <c r="E46" s="16" t="inlineStr">
        <is>
          <t>high-stakes</t>
        </is>
      </c>
      <c r="F46" s="16" t="n"/>
      <c r="G46" s="16" t="inlineStr">
        <is>
          <t>funded</t>
        </is>
      </c>
      <c r="H46" s="16" t="n"/>
      <c r="I46" s="16" t="inlineStr">
        <is>
          <t>oui</t>
        </is>
      </c>
      <c r="J46" s="16" t="inlineStr">
        <is>
          <t>https://the5ers.com/high-stakes/</t>
        </is>
      </c>
    </row>
    <row r="47">
      <c r="A47" s="16" t="inlineStr">
        <is>
          <t>live</t>
        </is>
      </c>
      <c r="B47" s="16" t="inlineStr">
        <is>
          <t>Scaling</t>
        </is>
      </c>
      <c r="C47" s="16" t="inlineStr">
        <is>
          <t>The balance doubles at every 10% target, from $5K up to $4,000,000, and the split moves from 50% to 100%.</t>
        </is>
      </c>
      <c r="D47" s="16" t="inlineStr">
        <is>
          <t>confirmed</t>
        </is>
      </c>
      <c r="E47" s="16" t="inlineStr">
        <is>
          <t>hyper-growth</t>
        </is>
      </c>
      <c r="F47" s="16" t="n"/>
      <c r="G47" s="16" t="inlineStr">
        <is>
          <t>funded</t>
        </is>
      </c>
      <c r="H47" s="16" t="n"/>
      <c r="I47" s="16" t="inlineStr">
        <is>
          <t>oui</t>
        </is>
      </c>
      <c r="J47" s="16" t="inlineStr">
        <is>
          <t>https://the5ers.com/hyper-growth/</t>
        </is>
      </c>
    </row>
    <row r="48">
      <c r="A48" s="16" t="inlineStr">
        <is>
          <t>live</t>
        </is>
      </c>
      <c r="B48" s="16" t="inlineStr">
        <is>
          <t>Scaling</t>
        </is>
      </c>
      <c r="C48" s="16" t="inlineStr">
        <is>
          <t>The balance grows 10% per step up to $500,000, from a 75% share.</t>
        </is>
      </c>
      <c r="D48" s="16" t="inlineStr">
        <is>
          <t>confirmed</t>
        </is>
      </c>
      <c r="E48" s="16" t="inlineStr">
        <is>
          <t>pro-growth</t>
        </is>
      </c>
      <c r="F48" s="16" t="n"/>
      <c r="G48" s="16" t="inlineStr">
        <is>
          <t>funded</t>
        </is>
      </c>
      <c r="H48" s="16" t="n"/>
      <c r="I48" s="16" t="inlineStr">
        <is>
          <t>oui</t>
        </is>
      </c>
      <c r="J48" s="16" t="inlineStr">
        <is>
          <t>https://the5ers.com/hyper-growth/</t>
        </is>
      </c>
    </row>
    <row r="49">
      <c r="A49" s="16" t="inlineStr">
        <is>
          <t>live</t>
        </is>
      </c>
      <c r="B49" s="16" t="inlineStr">
        <is>
          <t>Scaling</t>
        </is>
      </c>
      <c r="C49" s="16" t="inlineStr">
        <is>
          <t>The balance grows 5% per step, up to $4,000,000.</t>
        </is>
      </c>
      <c r="D49" s="16" t="inlineStr">
        <is>
          <t>confirmed</t>
        </is>
      </c>
      <c r="E49" s="16" t="inlineStr">
        <is>
          <t>bootcamp</t>
        </is>
      </c>
      <c r="F49" s="16" t="n"/>
      <c r="G49" s="16" t="inlineStr">
        <is>
          <t>funded</t>
        </is>
      </c>
      <c r="H49" s="16" t="n"/>
      <c r="I49" s="16" t="inlineStr">
        <is>
          <t>oui</t>
        </is>
      </c>
      <c r="J49" s="16" t="inlineStr">
        <is>
          <t>https://the5ers.com/bootcamp/</t>
        </is>
      </c>
    </row>
    <row r="50">
      <c r="A50" s="16" t="inlineStr">
        <is>
          <t>live</t>
        </is>
      </c>
      <c r="B50" s="16" t="inlineStr">
        <is>
          <t>Scaling</t>
        </is>
      </c>
      <c r="C50" s="16" t="inlineStr">
        <is>
          <t>$100K grows to $125K, $150K then $175K at a 75% share. The $200K does not scale.</t>
        </is>
      </c>
      <c r="D50" s="16" t="inlineStr">
        <is>
          <t>confirmed</t>
        </is>
      </c>
      <c r="E50" s="16" t="inlineStr">
        <is>
          <t>summer-plan</t>
        </is>
      </c>
      <c r="F50" s="16" t="n"/>
      <c r="G50" s="16" t="inlineStr">
        <is>
          <t>funded</t>
        </is>
      </c>
      <c r="H50" s="16" t="n"/>
      <c r="I50" s="16" t="inlineStr">
        <is>
          <t>oui</t>
        </is>
      </c>
      <c r="J50" s="16" t="inlineStr">
        <is>
          <t>https://the5ers.com/summer-plan/</t>
        </is>
      </c>
    </row>
    <row r="51">
      <c r="A51" s="16" t="inlineStr">
        <is>
          <t>live</t>
        </is>
      </c>
      <c r="B51" s="16" t="inlineStr">
        <is>
          <t>Scaling</t>
        </is>
      </c>
      <c r="C51" s="16" t="inlineStr">
        <is>
          <t>Every 10% of profit adds 5% to the balance and one mini or ten micros, up to $500,000.</t>
        </is>
      </c>
      <c r="D51" s="16" t="inlineStr">
        <is>
          <t>confirmed</t>
        </is>
      </c>
      <c r="E51" s="16" t="inlineStr">
        <is>
          <t>futures</t>
        </is>
      </c>
      <c r="F51" s="16" t="n"/>
      <c r="G51" s="16" t="inlineStr">
        <is>
          <t>funded</t>
        </is>
      </c>
      <c r="H51" s="16" t="n"/>
      <c r="I51" s="16" t="inlineStr">
        <is>
          <t>oui</t>
        </is>
      </c>
      <c r="J51" s="16" t="inlineStr">
        <is>
          <t>https://the5ers.com/futures-faqs/futures-scaling-plan-explanied/</t>
        </is>
      </c>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row r="56">
      <c r="A56" s="16" t="n"/>
      <c r="B56" s="16" t="n"/>
      <c r="C56" s="16" t="n"/>
      <c r="D56" s="16" t="n"/>
      <c r="E56" s="16" t="n"/>
      <c r="F56" s="16" t="n"/>
      <c r="G56" s="16" t="n"/>
      <c r="H56" s="16" t="n"/>
      <c r="I56" s="16" t="n"/>
      <c r="J56" s="16" t="n"/>
    </row>
    <row r="57">
      <c r="A57" s="16" t="n"/>
      <c r="B57" s="16" t="n"/>
      <c r="C57" s="16" t="n"/>
      <c r="D57" s="16" t="n"/>
      <c r="E57" s="16" t="n"/>
      <c r="F57" s="16" t="n"/>
      <c r="G57" s="16" t="n"/>
      <c r="H57" s="16" t="n"/>
      <c r="I57" s="16" t="n"/>
      <c r="J57" s="16" t="n"/>
    </row>
    <row r="58">
      <c r="A58" s="16" t="n"/>
      <c r="B58" s="16" t="n"/>
      <c r="C58" s="16" t="n"/>
      <c r="D58" s="16" t="n"/>
      <c r="E58" s="16" t="n"/>
      <c r="F58" s="16" t="n"/>
      <c r="G58" s="16" t="n"/>
      <c r="H58" s="16" t="n"/>
      <c r="I58" s="16" t="n"/>
      <c r="J58" s="16" t="n"/>
    </row>
    <row r="59">
      <c r="A59" s="16" t="n"/>
      <c r="B59" s="16" t="n"/>
      <c r="C59" s="16" t="n"/>
      <c r="D59" s="16" t="n"/>
      <c r="E59" s="16" t="n"/>
      <c r="F59" s="16" t="n"/>
      <c r="G59" s="16" t="n"/>
      <c r="H59" s="16" t="n"/>
      <c r="I59" s="16" t="n"/>
      <c r="J59" s="16" t="n"/>
    </row>
    <row r="60">
      <c r="A60" s="16" t="n"/>
      <c r="B60" s="16" t="n"/>
      <c r="C60" s="16" t="n"/>
      <c r="D60" s="16" t="n"/>
      <c r="E60" s="16" t="n"/>
      <c r="F60" s="16" t="n"/>
      <c r="G60" s="16" t="n"/>
      <c r="H60" s="16" t="n"/>
      <c r="I60" s="16" t="n"/>
      <c r="J60" s="16" t="n"/>
    </row>
    <row r="61">
      <c r="A61" s="16" t="n"/>
      <c r="B61" s="16" t="n"/>
      <c r="C61" s="16" t="n"/>
      <c r="D61" s="16" t="n"/>
      <c r="E61" s="16" t="n"/>
      <c r="F61" s="16" t="n"/>
      <c r="G61" s="16" t="n"/>
      <c r="H61" s="16" t="n"/>
      <c r="I61" s="16" t="n"/>
      <c r="J61" s="16" t="n"/>
    </row>
    <row r="62">
      <c r="A62" s="16" t="n"/>
      <c r="B62" s="16" t="n"/>
      <c r="C62" s="16" t="n"/>
      <c r="D62" s="16" t="n"/>
      <c r="E62" s="16" t="n"/>
      <c r="F62" s="16" t="n"/>
      <c r="G62" s="16" t="n"/>
      <c r="H62" s="16" t="n"/>
      <c r="I62" s="16" t="n"/>
      <c r="J62" s="16" t="n"/>
    </row>
    <row r="63">
      <c r="A63" s="16" t="n"/>
      <c r="B63" s="16" t="n"/>
      <c r="C63" s="16" t="n"/>
      <c r="D63" s="16" t="n"/>
      <c r="E63" s="16" t="n"/>
      <c r="F63" s="16" t="n"/>
      <c r="G63" s="16" t="n"/>
      <c r="H63" s="16" t="n"/>
      <c r="I63" s="16" t="n"/>
      <c r="J63" s="16" t="n"/>
    </row>
    <row r="64">
      <c r="A64" s="16" t="n"/>
      <c r="B64" s="16" t="n"/>
      <c r="C64" s="16" t="n"/>
      <c r="D64" s="16" t="n"/>
      <c r="E64" s="16" t="n"/>
      <c r="F64" s="16" t="n"/>
      <c r="G64" s="16" t="n"/>
      <c r="H64" s="16" t="n"/>
      <c r="I64" s="16" t="n"/>
      <c r="J64" s="16" t="n"/>
    </row>
  </sheetData>
  <dataValidations count="5">
    <dataValidation sqref="A3:A64" showDropDown="0" showInputMessage="0" showErrorMessage="1" allowBlank="1" errorTitle="Valeur hors liste" error="Choisis une valeur dans la liste deroulante." type="list">
      <formula1>=Listes!$P$2:$P$4</formula1>
    </dataValidation>
    <dataValidation sqref="D3:D64" showDropDown="0" showInputMessage="0" showErrorMessage="1" allowBlank="1" errorTitle="Valeur hors liste" error="Choisis une valeur dans la liste deroulante." type="list">
      <formula1>=Listes!$A$2:$A$6</formula1>
    </dataValidation>
    <dataValidation sqref="G3:G64" showDropDown="0" showInputMessage="0" showErrorMessage="1" allowBlank="1" errorTitle="Valeur hors liste" error="Choisis une valeur dans la liste deroulante." type="list">
      <formula1>=Listes!$Q$2:$Q$4</formula1>
    </dataValidation>
    <dataValidation sqref="H3:H64" showDropDown="0" showInputMessage="0" showErrorMessage="1" allowBlank="1" errorTitle="Valeur hors liste" error="Choisis une valeur dans la liste deroulante." type="list">
      <formula1>=Listes!$N$2:$N$3</formula1>
    </dataValidation>
    <dataValidation sqref="I3:I64" showDropDown="0" showInputMessage="0" showErrorMessage="1" allowBlank="1" errorTitle="Valeur hors liste" error="Choisis une valeur dans la liste deroulante." type="list">
      <formula1>=Listes!$N$2:$N$3</formula1>
    </dataValidation>
  </dataValidation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6B7280"/>
    <outlinePr summaryBelow="1" summaryRight="1"/>
    <pageSetUpPr/>
  </sheetPr>
  <dimension ref="A1:C35"/>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8" customWidth="1" min="2" max="2"/>
    <col width="96" customWidth="1" min="3" max="3"/>
  </cols>
  <sheetData>
    <row r="1" ht="30" customHeight="1">
      <c r="A1" s="14" t="inlineStr">
        <is>
          <t>type</t>
        </is>
      </c>
      <c r="B1" s="14" t="inlineStr">
        <is>
          <t>ordre</t>
        </is>
      </c>
      <c r="C1" s="14" t="inlineStr">
        <is>
          <t>texte</t>
        </is>
      </c>
    </row>
    <row r="2" ht="58" customHeight="1">
      <c r="A2" s="25" t="inlineStr">
        <is>
          <t>Un seul bloc « PropFirmScanner verdict » : verdict = « Our view » (1 ligne) · pour_qui = « Best for » · limite = « Things to know »</t>
        </is>
      </c>
      <c r="B2" s="25" t="inlineStr">
        <is>
          <t>1, 2, 3 dans chaque type. Le gabarit en montre 3.</t>
        </is>
      </c>
      <c r="C2" s="25" t="inlineStr">
        <is>
          <t>Conclusion independante, sans superlatif marketing.</t>
        </is>
      </c>
    </row>
    <row r="3">
      <c r="A3" s="17" t="inlineStr">
        <is>
          <t>verdict</t>
        </is>
      </c>
      <c r="B3" s="24" t="n">
        <v>1</v>
      </c>
      <c r="C3" s="17" t="inlineStr">
        <is>
          <t>Ten years in business, and the range best suited to swing trading: no deadline on any evaluation, a static drawdown instead of a trailing one, positions held overnight and over the weekend, and scaling that runs into the millions. Entry tickets start at $19, among the lowest on the market, and the catalogue covers every budget from $2,500 to $250,000 of capital. In exchange, every withdrawal costs 3.5%, the news window on High Stakes is strict to the minute, and the firm states plainly that it is not regulated and that the accounts are simulated.</t>
        </is>
      </c>
    </row>
    <row r="4">
      <c r="A4" s="17" t="inlineStr">
        <is>
          <t>pour_qui</t>
        </is>
      </c>
      <c r="B4" s="24" t="n">
        <v>1</v>
      </c>
      <c r="C4" s="17" t="inlineStr">
        <is>
          <t>Swing traders: overnight and weekend positions stay allowed on the CFD programs.</t>
        </is>
      </c>
    </row>
    <row r="5">
      <c r="A5" s="17" t="inlineStr">
        <is>
          <t>pour_qui</t>
        </is>
      </c>
      <c r="B5" s="24" t="n">
        <v>2</v>
      </c>
      <c r="C5" s="17" t="inlineStr">
        <is>
          <t>Traders who take their time: no evaluation has a deadline.</t>
        </is>
      </c>
    </row>
    <row r="6">
      <c r="A6" s="16" t="inlineStr">
        <is>
          <t>pour_qui</t>
        </is>
      </c>
      <c r="B6" s="23" t="n">
        <v>3</v>
      </c>
      <c r="C6" s="16" t="inlineStr">
        <is>
          <t>Small budgets: from $19 for a $2,500 account.</t>
        </is>
      </c>
    </row>
    <row r="7">
      <c r="A7" s="16" t="inlineStr">
        <is>
          <t>pour_qui</t>
        </is>
      </c>
      <c r="B7" s="23" t="n">
        <v>4</v>
      </c>
      <c r="C7" s="16" t="inlineStr">
        <is>
          <t>Traders who prefer a static drawdown to a trailing one.</t>
        </is>
      </c>
    </row>
    <row r="8">
      <c r="A8" s="16" t="inlineStr">
        <is>
          <t>limite</t>
        </is>
      </c>
      <c r="B8" s="23" t="n">
        <v>1</v>
      </c>
      <c r="C8" s="16" t="inlineStr">
        <is>
          <t>Every withdrawal carries a 3.5% fee, whatever the method.</t>
        </is>
      </c>
    </row>
    <row r="9">
      <c r="A9" s="16" t="inlineStr">
        <is>
          <t>limite</t>
        </is>
      </c>
      <c r="B9" s="23" t="n">
        <v>2</v>
      </c>
      <c r="C9" s="16" t="inlineStr">
        <is>
          <t>On High Stakes, placing an order two minutes around a high-impact release is a breach.</t>
        </is>
      </c>
    </row>
    <row r="10">
      <c r="A10" s="16" t="inlineStr">
        <is>
          <t>limite</t>
        </is>
      </c>
      <c r="B10" s="23" t="n">
        <v>3</v>
      </c>
      <c r="C10" s="16" t="inlineStr">
        <is>
          <t>The split varies widely: 50% on Hyper Growth, 75% on Pro Growth, 80% on High Stakes.</t>
        </is>
      </c>
    </row>
    <row r="11">
      <c r="A11" s="16" t="n"/>
      <c r="B11" s="23" t="n"/>
      <c r="C11" s="16" t="n"/>
    </row>
    <row r="12">
      <c r="A12" s="16" t="n"/>
      <c r="B12" s="23" t="n"/>
      <c r="C12" s="16" t="n"/>
    </row>
    <row r="13">
      <c r="A13" s="16" t="n"/>
      <c r="B13" s="23" t="n"/>
      <c r="C13" s="16" t="n"/>
    </row>
    <row r="14">
      <c r="A14" s="16" t="n"/>
      <c r="B14" s="23" t="n"/>
      <c r="C14" s="16" t="n"/>
    </row>
    <row r="15">
      <c r="A15" s="16" t="n"/>
      <c r="B15" s="23" t="n"/>
      <c r="C15" s="16" t="n"/>
    </row>
    <row r="16">
      <c r="A16" s="16" t="n"/>
      <c r="B16" s="23" t="n"/>
      <c r="C16" s="16" t="n"/>
    </row>
    <row r="17">
      <c r="A17" s="16" t="n"/>
      <c r="B17" s="23" t="n"/>
      <c r="C17" s="16" t="n"/>
    </row>
    <row r="18">
      <c r="A18" s="16" t="n"/>
      <c r="B18" s="23" t="n"/>
      <c r="C18" s="16" t="n"/>
    </row>
    <row r="19">
      <c r="A19" s="16" t="n"/>
      <c r="B19" s="23" t="n"/>
      <c r="C19" s="16" t="n"/>
    </row>
    <row r="20">
      <c r="A20" s="16" t="n"/>
      <c r="B20" s="23" t="n"/>
      <c r="C20" s="16" t="n"/>
    </row>
    <row r="21">
      <c r="A21" s="16" t="n"/>
      <c r="B21" s="23" t="n"/>
      <c r="C21" s="16" t="n"/>
    </row>
    <row r="22">
      <c r="A22" s="16" t="n"/>
      <c r="B22" s="23" t="n"/>
      <c r="C22" s="16" t="n"/>
    </row>
    <row r="23">
      <c r="A23" s="16" t="n"/>
      <c r="B23" s="23" t="n"/>
      <c r="C23" s="16" t="n"/>
    </row>
    <row r="24">
      <c r="A24" s="16" t="n"/>
      <c r="B24" s="23" t="n"/>
      <c r="C24" s="16" t="n"/>
    </row>
    <row r="25">
      <c r="A25" s="16" t="n"/>
      <c r="B25" s="23" t="n"/>
      <c r="C25" s="16" t="n"/>
    </row>
    <row r="26">
      <c r="A26" s="16" t="n"/>
      <c r="B26" s="23" t="n"/>
      <c r="C26" s="16" t="n"/>
    </row>
    <row r="27">
      <c r="A27" s="16" t="n"/>
      <c r="B27" s="23" t="n"/>
      <c r="C27" s="16" t="n"/>
    </row>
    <row r="28">
      <c r="A28" s="16" t="n"/>
      <c r="B28" s="23" t="n"/>
      <c r="C28" s="16" t="n"/>
    </row>
    <row r="29">
      <c r="A29" s="16" t="n"/>
      <c r="B29" s="23" t="n"/>
      <c r="C29" s="16" t="n"/>
    </row>
    <row r="30">
      <c r="A30" s="16" t="n"/>
      <c r="B30" s="23" t="n"/>
      <c r="C30" s="16" t="n"/>
    </row>
    <row r="31">
      <c r="A31" s="16" t="n"/>
      <c r="B31" s="23" t="n"/>
      <c r="C31" s="16" t="n"/>
    </row>
    <row r="32">
      <c r="A32" s="16" t="n"/>
      <c r="B32" s="23" t="n"/>
      <c r="C32" s="16" t="n"/>
    </row>
    <row r="33">
      <c r="A33" s="16" t="n"/>
      <c r="B33" s="23" t="n"/>
      <c r="C33" s="16" t="n"/>
    </row>
    <row r="34">
      <c r="A34" s="16" t="n"/>
      <c r="B34" s="23" t="n"/>
      <c r="C34" s="16" t="n"/>
    </row>
    <row r="35">
      <c r="A35" s="16" t="n"/>
      <c r="B35" s="23" t="n"/>
      <c r="C35" s="16" t="n"/>
    </row>
  </sheetData>
  <dataValidations count="1">
    <dataValidation sqref="A3:A35" showDropDown="0" showInputMessage="0" showErrorMessage="1" allowBlank="1" errorTitle="Valeur hors liste" error="Choisis une valeur dans la liste deroulante." type="list">
      <formula1>=Listes!$O$2:$O$4</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6B7280"/>
    <outlinePr summaryBelow="1" summaryRight="1"/>
    <pageSetUpPr/>
  </sheetPr>
  <dimension ref="A1:C2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50" customWidth="1" min="2" max="2"/>
    <col width="80" customWidth="1" min="3" max="3"/>
  </cols>
  <sheetData>
    <row r="1" ht="30" customHeight="1">
      <c r="A1" s="14" t="inlineStr">
        <is>
          <t>ordre</t>
        </is>
      </c>
      <c r="B1" s="14" t="inlineStr">
        <is>
          <t>question</t>
        </is>
      </c>
      <c r="C1" s="14" t="inlineStr">
        <is>
          <t>reponse</t>
        </is>
      </c>
    </row>
    <row r="2" ht="58" customHeight="1">
      <c r="A2" s="25" t="inlineStr">
        <is>
          <t>Ordre d'affichage.</t>
        </is>
      </c>
      <c r="B2" s="25" t="inlineStr">
        <is>
          <t>Les 5 questions du gabarit sont pre-remplies ; [Firm] sera remplace par le nom. Tu peux en ajouter.</t>
        </is>
      </c>
      <c r="C2" s="25" t="inlineStr">
        <is>
          <t>Vide : la page recompose la reponse depuis les autres onglets (programmes, prix, partage, retraits, offre).</t>
        </is>
      </c>
    </row>
    <row r="3">
      <c r="A3" s="23" t="n">
        <v>1</v>
      </c>
      <c r="B3" s="16" t="inlineStr">
        <is>
          <t>Is [Firm] suitable for beginners?</t>
        </is>
      </c>
      <c r="C3" s="16" t="n"/>
    </row>
    <row r="4">
      <c r="A4" s="23" t="n">
        <v>2</v>
      </c>
      <c r="B4" s="16" t="inlineStr">
        <is>
          <t>How much does [Firm] cost?</t>
        </is>
      </c>
      <c r="C4" s="16" t="n"/>
    </row>
    <row r="5">
      <c r="A5" s="23" t="n">
        <v>3</v>
      </c>
      <c r="B5" s="16" t="inlineStr">
        <is>
          <t>What profit split does [Firm] offer?</t>
        </is>
      </c>
      <c r="C5" s="16" t="n"/>
    </row>
    <row r="6">
      <c r="A6" s="23" t="n">
        <v>4</v>
      </c>
      <c r="B6" s="16" t="inlineStr">
        <is>
          <t>How do payouts work?</t>
        </is>
      </c>
      <c r="C6" s="16" t="n"/>
    </row>
    <row r="7">
      <c r="A7" s="23" t="n">
        <v>5</v>
      </c>
      <c r="B7" s="16" t="inlineStr">
        <is>
          <t>Does the promotional code apply to every account?</t>
        </is>
      </c>
      <c r="C7" s="16" t="n"/>
    </row>
    <row r="8">
      <c r="A8" s="23" t="n"/>
      <c r="B8" s="16" t="n"/>
      <c r="C8" s="16" t="n"/>
    </row>
    <row r="9">
      <c r="A9" s="23" t="n"/>
      <c r="B9" s="16" t="n"/>
      <c r="C9" s="16" t="n"/>
    </row>
    <row r="10">
      <c r="A10" s="23" t="n"/>
      <c r="B10" s="16" t="n"/>
      <c r="C10" s="16" t="n"/>
    </row>
    <row r="11">
      <c r="A11" s="23" t="n"/>
      <c r="B11" s="16" t="n"/>
      <c r="C11" s="16" t="n"/>
    </row>
    <row r="12">
      <c r="A12" s="23" t="n"/>
      <c r="B12" s="16" t="n"/>
      <c r="C12" s="16" t="n"/>
    </row>
    <row r="13">
      <c r="A13" s="23" t="n"/>
      <c r="B13" s="16" t="n"/>
      <c r="C13" s="16" t="n"/>
    </row>
    <row r="14">
      <c r="A14" s="23" t="n"/>
      <c r="B14" s="16" t="n"/>
      <c r="C14" s="16" t="n"/>
    </row>
    <row r="15">
      <c r="A15" s="23" t="n"/>
      <c r="B15" s="16" t="n"/>
      <c r="C15" s="16" t="n"/>
    </row>
    <row r="16">
      <c r="A16" s="23" t="n"/>
      <c r="B16" s="16" t="n"/>
      <c r="C16" s="16" t="n"/>
    </row>
    <row r="17">
      <c r="A17" s="23" t="n"/>
      <c r="B17" s="16" t="n"/>
      <c r="C17" s="16" t="n"/>
    </row>
    <row r="18">
      <c r="A18" s="23" t="n"/>
      <c r="B18" s="16" t="n"/>
      <c r="C18" s="16" t="n"/>
    </row>
    <row r="19">
      <c r="A19" s="23" t="n"/>
      <c r="B19" s="16" t="n"/>
      <c r="C19" s="16" t="n"/>
    </row>
    <row r="20">
      <c r="A20" s="23" t="n"/>
      <c r="B20" s="16" t="n"/>
      <c r="C20" s="16" t="n"/>
    </row>
    <row r="21">
      <c r="A21" s="23" t="n"/>
      <c r="B21" s="16" t="n"/>
      <c r="C21" s="16" t="n"/>
    </row>
    <row r="22">
      <c r="A22" s="23" t="n"/>
      <c r="B22" s="16" t="n"/>
      <c r="C22" s="16" t="n"/>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9CA3AF"/>
    <outlinePr summaryBelow="1" summaryRight="1"/>
    <pageSetUpPr/>
  </sheetPr>
  <dimension ref="A1:Q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s>
  <sheetData>
    <row r="1">
      <c r="A1" s="9" t="inlineStr">
        <is>
          <t>statut_valeur</t>
        </is>
      </c>
      <c r="B1" s="9" t="inlineStr">
        <is>
          <t>facturation</t>
        </is>
      </c>
      <c r="C1" s="9" t="inlineStr">
        <is>
          <t>intervalle</t>
        </is>
      </c>
      <c r="D1" s="9" t="inlineStr">
        <is>
          <t>type_option</t>
        </is>
      </c>
      <c r="E1" s="9" t="inlineStr">
        <is>
          <t>type_formation</t>
        </is>
      </c>
      <c r="F1" s="9" t="inlineStr">
        <is>
          <t>etape_parcours</t>
        </is>
      </c>
      <c r="G1" s="9" t="inlineStr">
        <is>
          <t>marche</t>
        </is>
      </c>
      <c r="H1" s="9" t="inlineStr">
        <is>
          <t>type_programme</t>
        </is>
      </c>
      <c r="I1" s="9" t="inlineStr">
        <is>
          <t>statut</t>
        </is>
      </c>
      <c r="J1" s="9" t="inlineStr">
        <is>
          <t>phase</t>
        </is>
      </c>
      <c r="K1" s="9" t="inlineStr">
        <is>
          <t>type_perte</t>
        </is>
      </c>
      <c r="L1" s="9" t="inlineStr">
        <is>
          <t>devise</t>
        </is>
      </c>
      <c r="M1" s="9" t="inlineStr">
        <is>
          <t>portee_offre</t>
        </is>
      </c>
      <c r="N1" s="9" t="inlineStr">
        <is>
          <t>oui_non</t>
        </is>
      </c>
      <c r="O1" s="9" t="inlineStr">
        <is>
          <t>type_verdict</t>
        </is>
      </c>
      <c r="P1" s="9" t="inlineStr">
        <is>
          <t>carte_regle</t>
        </is>
      </c>
      <c r="Q1" s="9" t="inlineStr">
        <is>
          <t>phase_regle</t>
        </is>
      </c>
    </row>
    <row r="2">
      <c r="A2" s="11" t="inlineStr">
        <is>
          <t>confirmed</t>
        </is>
      </c>
      <c r="B2" s="11" t="inlineStr">
        <is>
          <t>one_time</t>
        </is>
      </c>
      <c r="C2" s="11" t="inlineStr">
        <is>
          <t>monthly</t>
        </is>
      </c>
      <c r="D2" s="11" t="inlineStr">
        <is>
          <t>plateforme</t>
        </is>
      </c>
      <c r="E2" s="11" t="inlineStr">
        <is>
          <t>titre</t>
        </is>
      </c>
      <c r="F2" s="11" t="inlineStr">
        <is>
          <t>evaluation</t>
        </is>
      </c>
      <c r="G2" s="11" t="inlineStr">
        <is>
          <t>futures</t>
        </is>
      </c>
      <c r="H2" s="11" t="inlineStr">
        <is>
          <t>evaluation</t>
        </is>
      </c>
      <c r="I2" s="11" t="inlineStr">
        <is>
          <t>active</t>
        </is>
      </c>
      <c r="J2" s="11" t="inlineStr">
        <is>
          <t>evaluation</t>
        </is>
      </c>
      <c r="K2" s="11" t="inlineStr">
        <is>
          <t>End of Day</t>
        </is>
      </c>
      <c r="L2" s="11" t="inlineStr">
        <is>
          <t>USD</t>
        </is>
      </c>
      <c r="M2" s="11" t="inlineStr">
        <is>
          <t>universelle_verifiee</t>
        </is>
      </c>
      <c r="N2" s="11" t="inlineStr">
        <is>
          <t>oui</t>
        </is>
      </c>
      <c r="O2" s="11" t="inlineStr">
        <is>
          <t>verdict</t>
        </is>
      </c>
      <c r="P2" s="11" t="inlineStr">
        <is>
          <t>trading</t>
        </is>
      </c>
      <c r="Q2" s="11" t="inlineStr">
        <is>
          <t>evaluation</t>
        </is>
      </c>
    </row>
    <row r="3">
      <c r="A3" s="11" t="inlineStr">
        <is>
          <t>not_published</t>
        </is>
      </c>
      <c r="B3" s="11" t="inlineStr">
        <is>
          <t>subscription</t>
        </is>
      </c>
      <c r="D3" s="11" t="inlineStr">
        <is>
          <t>data_feed</t>
        </is>
      </c>
      <c r="E3" s="11" t="inlineStr">
        <is>
          <t>intro</t>
        </is>
      </c>
      <c r="F3" s="11" t="inlineStr">
        <is>
          <t>funded</t>
        </is>
      </c>
      <c r="G3" s="11" t="inlineStr">
        <is>
          <t>cfd</t>
        </is>
      </c>
      <c r="H3" s="11" t="inlineStr">
        <is>
          <t>instant</t>
        </is>
      </c>
      <c r="I3" s="11" t="inlineStr">
        <is>
          <t>promotional</t>
        </is>
      </c>
      <c r="J3" s="11" t="inlineStr">
        <is>
          <t>evaluation_2</t>
        </is>
      </c>
      <c r="K3" s="11" t="inlineStr">
        <is>
          <t>Trailing Equity</t>
        </is>
      </c>
      <c r="L3" s="11" t="inlineStr">
        <is>
          <t>EUR</t>
        </is>
      </c>
      <c r="M3" s="11" t="inlineStr">
        <is>
          <t>restreinte</t>
        </is>
      </c>
      <c r="N3" s="11" t="inlineStr">
        <is>
          <t>non</t>
        </is>
      </c>
      <c r="O3" s="11" t="inlineStr">
        <is>
          <t>pour_qui</t>
        </is>
      </c>
      <c r="P3" s="11" t="inlineStr">
        <is>
          <t>payouts</t>
        </is>
      </c>
      <c r="Q3" s="11" t="inlineStr">
        <is>
          <t>evaluation_2</t>
        </is>
      </c>
    </row>
    <row r="4">
      <c r="A4" s="11" t="inlineStr">
        <is>
          <t>not_applicable</t>
        </is>
      </c>
      <c r="E4" s="11" t="inlineStr">
        <is>
          <t>element</t>
        </is>
      </c>
      <c r="F4" s="11" t="inlineStr">
        <is>
          <t>payout</t>
        </is>
      </c>
      <c r="G4" s="11" t="inlineStr">
        <is>
          <t>stocks</t>
        </is>
      </c>
      <c r="I4" s="11" t="inlineStr">
        <is>
          <t>retired</t>
        </is>
      </c>
      <c r="J4" s="11" t="inlineStr">
        <is>
          <t>funded</t>
        </is>
      </c>
      <c r="K4" s="11" t="inlineStr">
        <is>
          <t>Trailing Intraday</t>
        </is>
      </c>
      <c r="L4" s="11" t="inlineStr">
        <is>
          <t>GBP</t>
        </is>
      </c>
      <c r="M4" s="11" t="inlineStr">
        <is>
          <t>non_confirmee</t>
        </is>
      </c>
      <c r="O4" s="11" t="inlineStr">
        <is>
          <t>limite</t>
        </is>
      </c>
      <c r="P4" s="11" t="inlineStr">
        <is>
          <t>live</t>
        </is>
      </c>
      <c r="Q4" s="11" t="inlineStr">
        <is>
          <t>funded</t>
        </is>
      </c>
    </row>
    <row r="5">
      <c r="A5" s="11" t="inlineStr">
        <is>
          <t>needs_confirmation</t>
        </is>
      </c>
      <c r="F5" t="inlineStr">
        <is>
          <t>certification</t>
        </is>
      </c>
      <c r="G5" s="11" t="inlineStr">
        <is>
          <t>crypto</t>
        </is>
      </c>
      <c r="K5" s="11" t="inlineStr">
        <is>
          <t>Static</t>
        </is>
      </c>
    </row>
    <row r="6">
      <c r="A6" s="11" t="inlineStr">
        <is>
          <t>source_conflict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2026-09-19T15:46:45Z</dcterms:created>
  <dcterms:modified xsi:type="dcterms:W3CDTF">2026-09-27T15:05:55Z</dcterms:modified>
</cp:coreProperties>
</file>