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n"/>
      <c r="C2" s="17" t="inlineStr">
        <is>
          <t>futureselite</t>
        </is>
      </c>
      <c r="D2" s="18" t="inlineStr">
        <is>
          <t>N'est pas affiche : sert a l'adresse de la page et au lien sortant. Minuscules, sans espace. Obligatoire.</t>
        </is>
      </c>
    </row>
    <row r="3" ht="44" customHeight="1">
      <c r="A3" s="15" t="inlineStr">
        <is>
          <t>nom</t>
        </is>
      </c>
      <c r="B3" s="16" t="n"/>
      <c r="C3" s="17" t="inlineStr">
        <is>
          <t>FuturesElite</t>
        </is>
      </c>
      <c r="D3" s="18" t="inlineStr">
        <is>
          <t>Le titre de la carte d'identite, « Continue to [Firm] », le verdict et la FAQ. Obligatoire.</t>
        </is>
      </c>
    </row>
    <row r="4" ht="44" customHeight="1">
      <c r="A4" s="15" t="inlineStr">
        <is>
          <t>logo_url</t>
        </is>
      </c>
      <c r="B4" s="16" t="n"/>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trustpilot_avis</t>
        </is>
      </c>
      <c r="B6" s="21" t="n"/>
      <c r="C6" s="22" t="n">
        <v>1200</v>
      </c>
      <c r="D6" s="18" t="inlineStr">
        <is>
          <t>Nombre d'avis sous la note.</t>
        </is>
      </c>
    </row>
    <row r="7" ht="44" customHeight="1">
      <c r="A7" s="15" t="inlineStr">
        <is>
          <t>marches</t>
        </is>
      </c>
      <c r="B7" s="16" t="n"/>
      <c r="C7" s="17" t="inlineStr">
        <is>
          <t>futures</t>
        </is>
      </c>
      <c r="D7" s="18" t="inlineStr">
        <is>
          <t>« Firm type » (deduit d'ici) et le choix du marche dans le configurateur. futures, cfd — separes par une virgule si plusieurs.</t>
        </is>
      </c>
    </row>
    <row r="8" ht="44" customHeight="1">
      <c r="A8" s="15" t="inlineStr">
        <is>
          <t>titre</t>
        </is>
      </c>
      <c r="B8" s="16" t="n"/>
      <c r="C8" s="17" t="inlineStr">
        <is>
          <t>Four routes to a funded futures account</t>
        </is>
      </c>
      <c r="D8" s="18" t="inlineStr">
        <is>
          <t>Nouvelle page : le H1, une proposition de valeur. Vide : le nom de la firme sert de H1.</t>
        </is>
      </c>
    </row>
    <row r="9" ht="44" customHeight="1">
      <c r="A9" s="15" t="inlineStr">
        <is>
          <t>description</t>
        </is>
      </c>
      <c r="B9" s="16" t="n"/>
      <c r="C9" s="17" t="inlineStr">
        <is>
          <t>Compare Elite, Nitro, Prime and Instant to choose between a traditional evaluation, a faster route or funding from purchase.</t>
        </is>
      </c>
      <c r="D9" s="18" t="inlineStr">
        <is>
          <t>Nouvelle page : 2 a 3 lignes sous le H1.</t>
        </is>
      </c>
    </row>
    <row r="10" ht="44" customHeight="1">
      <c r="A10" s="15" t="inlineStr">
        <is>
          <t>resume</t>
        </is>
      </c>
      <c r="B10" s="16" t="n"/>
      <c r="C10" s="17" t="inlineStr">
        <is>
          <t>Elite and Prime are evaluation routes with a one-time fee and no deadline to pass. Nitro and Instant shorten or remove the evaluation entirely, Instant funding you from purchase with no objective to reach.</t>
        </is>
      </c>
      <c r="D10" s="18" t="inlineStr">
        <is>
          <t>Ancienne page seulement (retour arriere) : 1 a 2 phrases sous le nom.</t>
        </is>
      </c>
    </row>
    <row r="11" ht="44" customHeight="1">
      <c r="A11" s="15" t="inlineStr">
        <is>
          <t>presentation</t>
        </is>
      </c>
      <c r="B11" s="16" t="n"/>
      <c r="C11" s="17" t="inlineStr">
        <is>
          <t>FuturesElite sells simulated futures accounts across four programs. Elite and Prime are evaluation routes with a one-time fee and no deadline to pass.</t>
        </is>
      </c>
      <c r="D11" s="18" t="inlineStr">
        <is>
          <t>Section « About [Firm] » : texte developpe, paragraphes separes par une ligne vide (Alt+Entree deux fois).</t>
        </is>
      </c>
    </row>
    <row r="12" ht="44" customHeight="1">
      <c r="A12" s="15" t="inlineStr">
        <is>
          <t>annee_creation</t>
        </is>
      </c>
      <c r="B12" s="23" t="n"/>
      <c r="C12" s="24" t="n">
        <v>2024</v>
      </c>
      <c r="D12" s="18" t="inlineStr">
        <is>
          <t>« Founded ». Vide : « — ».</t>
        </is>
      </c>
    </row>
    <row r="13" ht="44" customHeight="1">
      <c r="A13" s="15" t="inlineStr">
        <is>
          <t>pays</t>
        </is>
      </c>
      <c r="B13" s="16" t="n"/>
      <c r="C13" s="17" t="inlineStr">
        <is>
          <t>Italy</t>
        </is>
      </c>
      <c r="D13" s="18" t="inlineStr">
        <is>
          <t>« Country ».</t>
        </is>
      </c>
    </row>
    <row r="14" ht="44" customHeight="1">
      <c r="A14" s="15" t="inlineStr">
        <is>
          <t>ceo_fondateur</t>
        </is>
      </c>
      <c r="B14" s="16" t="n"/>
      <c r="C14" s="17" t="inlineStr">
        <is>
          <t>Christian Habibi</t>
        </is>
      </c>
      <c r="D14" s="18" t="inlineStr">
        <is>
          <t>« CEO / Founder ». Vide : « — ».</t>
        </is>
      </c>
    </row>
    <row r="15" ht="44" customHeight="1">
      <c r="A15" s="15" t="inlineStr">
        <is>
          <t>actifs</t>
        </is>
      </c>
      <c r="B15" s="16" t="n"/>
      <c r="C15" s="17" t="inlineStr">
        <is>
          <t>Futures, Forex, Metals, Indices, Energy, Crypto, Bonds, Agricultural Products</t>
        </is>
      </c>
      <c r="D15" s="18" t="inlineStr">
        <is>
          <t>Ancienne page seulement : une etiquette par actif, separes par des virgules.</t>
        </is>
      </c>
    </row>
    <row r="16" ht="44" customHeight="1">
      <c r="A16" s="15" t="inlineStr">
        <is>
          <t>categories_actifs</t>
        </is>
      </c>
      <c r="B16" s="16" t="n"/>
      <c r="C16" s="17" t="inlineStr">
        <is>
          <t>(vide — non confirmees)</t>
        </is>
      </c>
      <c r="D16" s="18" t="inlineStr">
        <is>
          <t>Nouvelle page, « Tradable assets » : categories precises (Index futures, Currency futures…), seulement si confirmees par la firme.</t>
        </is>
      </c>
    </row>
    <row r="17" ht="44" customHeight="1">
      <c r="A17" s="15" t="inlineStr">
        <is>
          <t>categories_actifs_statut</t>
        </is>
      </c>
      <c r="B17" s="16" t="n"/>
      <c r="C17" s="17" t="inlineStr">
        <is>
          <t>needs_confirmation</t>
        </is>
      </c>
      <c r="D17" s="18" t="inlineStr">
        <is>
          <t>confirmed si la liste est confirmee. Ou un statut : not_published (la firme ne le publie pas), not_applicable, needs_confirmation, source_conflict. Vide : la ligne disparait.</t>
        </is>
      </c>
    </row>
    <row r="18" ht="44" customHeight="1">
      <c r="A18" s="15" t="inlineStr">
        <is>
          <t>plateformes</t>
        </is>
      </c>
      <c r="B18" s="16" t="n"/>
      <c r="C18" s="17" t="inlineStr">
        <is>
          <t>Tradovate, NinjaTrader, Quantower, ATAS, WealthCharts, DeepChart, Volumetrica, DeepCharts</t>
        </is>
      </c>
      <c r="D18" s="18" t="inlineStr">
        <is>
          <t>Ancienne page seulement. La nouvelle lit l'onglet Plateformes.</t>
        </is>
      </c>
    </row>
    <row r="19" ht="44" customHeight="1">
      <c r="A19" s="15" t="inlineStr">
        <is>
          <t>moyens_paiement</t>
        </is>
      </c>
      <c r="B19" s="16" t="n"/>
      <c r="C19" s="17" t="inlineStr">
        <is>
          <t>Credit/Debit Card, Crypto</t>
        </is>
      </c>
      <c r="D19" s="18" t="inlineStr">
        <is>
          <t>« Purchase methods » : moyens de paiement A L'ACHAT, separes par des virgules.</t>
        </is>
      </c>
    </row>
    <row r="20" ht="44" customHeight="1">
      <c r="A20" s="15" t="inlineStr">
        <is>
          <t>methodes_retrait</t>
        </is>
      </c>
      <c r="B20" s="16" t="n"/>
      <c r="C20" s="17" t="inlineStr">
        <is>
          <t>Crypto, Riseworks</t>
        </is>
      </c>
      <c r="D20" s="18" t="inlineStr">
        <is>
          <t>Carte PAYOUTS : methodes de RETRAIT, separees par des virgules.</t>
        </is>
      </c>
    </row>
    <row r="21" ht="44" customHeight="1">
      <c r="A21" s="15" t="inlineStr">
        <is>
          <t>prestataire_retrait</t>
        </is>
      </c>
      <c r="B21" s="16" t="n"/>
      <c r="C21" s="17" t="inlineStr">
        <is>
          <t>Rise</t>
        </is>
      </c>
      <c r="D21" s="18" t="inlineStr">
        <is>
          <t>Carte PAYOUTS : le prestataire qui paie les retraits.</t>
        </is>
      </c>
    </row>
    <row r="22" ht="44" customHeight="1">
      <c r="A22" s="15" t="inlineStr">
        <is>
          <t>levier</t>
        </is>
      </c>
      <c r="B22" s="16" t="n"/>
      <c r="C22" s="17" t="inlineStr">
        <is>
          <t>N/A (futures contracts)</t>
        </is>
      </c>
      <c r="D22" s="18" t="inlineStr">
        <is>
          <t>« Trading profile » : « Leverage 1:X ». Vide : « Leverage — ».</t>
        </is>
      </c>
    </row>
    <row r="23" ht="44" customHeight="1">
      <c r="A23" s="15" t="inlineStr">
        <is>
          <t>levier_statut</t>
        </is>
      </c>
      <c r="B23" s="16" t="n"/>
      <c r="C23" s="17" t="inlineStr">
        <is>
          <t>not_applicable</t>
        </is>
      </c>
      <c r="D23" s="18" t="inlineStr">
        <is>
          <t>Nouvelle page : confirmed si levier est rempli. Ou un statut : not_published (la firme ne le publie pas), not_applicable, needs_confirmation, source_conflict. Vide : la ligne disparait.</t>
        </is>
      </c>
    </row>
    <row r="24" ht="44" customHeight="1">
      <c r="A24" s="15" t="inlineStr">
        <is>
          <t>styles_trading</t>
        </is>
      </c>
      <c r="B24" s="16" t="n"/>
      <c r="C24" s="17" t="inlineStr">
        <is>
          <t>(vide — absent du releve)</t>
        </is>
      </c>
      <c r="D24" s="18" t="inlineStr">
        <is>
          <t>« Trading profile » : styles autorises (Swing…), separes par des virgules.</t>
        </is>
      </c>
    </row>
  </sheetData>
  <dataValidations count="2">
    <dataValidation sqref="B17" showDropDown="0" showInputMessage="0" showErrorMessage="1" allowBlank="1" errorTitle="Valeur hors liste" error="Choisis une valeur dans la liste deroulante." type="list">
      <formula1>=Listes!$A$2:$A$6</formula1>
    </dataValidation>
    <dataValidation sqref="B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Four funding routes</t>
        </is>
      </c>
      <c r="C3" s="17" t="inlineStr">
        <is>
          <t>Evaluation, faster routes and instant funding.</t>
        </is>
      </c>
    </row>
    <row r="4">
      <c r="A4" s="24" t="n">
        <v>2</v>
      </c>
      <c r="B4" s="17" t="inlineStr">
        <is>
          <t>One-time fees</t>
        </is>
      </c>
      <c r="C4" s="17" t="inlineStr">
        <is>
          <t>No monthly evaluation subscription.</t>
        </is>
      </c>
    </row>
    <row r="5">
      <c r="A5" s="23" t="n"/>
      <c r="B5" s="16" t="n"/>
      <c r="C5" s="16" t="n"/>
    </row>
    <row r="6">
      <c r="A6" s="23" t="n"/>
      <c r="B6" s="16" t="n"/>
      <c r="C6" s="16" t="n"/>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7" t="inlineStr">
        <is>
          <t>Tradovate</t>
        </is>
      </c>
      <c r="B3" s="17" t="inlineStr">
        <is>
          <t>oui</t>
        </is>
      </c>
      <c r="C3" s="17" t="n"/>
    </row>
    <row r="4">
      <c r="A4" s="17" t="inlineStr">
        <is>
          <t>Volumetrica</t>
        </is>
      </c>
      <c r="B4" s="17" t="inlineStr">
        <is>
          <t>non</t>
        </is>
      </c>
      <c r="C4" s="17" t="inlineStr">
        <is>
          <t>Listed on the official homepage but not exposed in the purchase configurator.</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7" t="inlineStr">
        <is>
          <t>elite</t>
        </is>
      </c>
      <c r="B3" s="17" t="inlineStr">
        <is>
          <t>Elite</t>
        </is>
      </c>
      <c r="C3" s="17" t="inlineStr">
        <is>
          <t>futures</t>
        </is>
      </c>
      <c r="D3" s="17" t="inlineStr">
        <is>
          <t>evaluation</t>
        </is>
      </c>
      <c r="E3" s="17" t="inlineStr">
        <is>
          <t>active</t>
        </is>
      </c>
      <c r="F3" s="17" t="inlineStr">
        <is>
          <t>One-step evaluation</t>
        </is>
      </c>
      <c r="G3" s="17" t="inlineStr">
        <is>
          <t>One-step evaluation, end-of-day drawdown and no daily loss limit.</t>
        </is>
      </c>
      <c r="H3" s="24" t="n">
        <v>5</v>
      </c>
      <c r="I3" s="17" t="inlineStr">
        <is>
          <t>confirmed</t>
        </is>
      </c>
      <c r="J3" s="17" t="inlineStr">
        <is>
          <t>Counts towards the shared cap of 5 funded accounts across Elite, Custom, Instant and Nitro.</t>
        </is>
      </c>
      <c r="K3" s="26">
        <f>IF(A3="","",COUNTIF(Plans!$A$3:$A$300,A3))</f>
        <v/>
      </c>
    </row>
    <row r="4">
      <c r="A4" s="16" t="n"/>
      <c r="B4" s="16" t="n"/>
      <c r="C4" s="16" t="n"/>
      <c r="D4" s="16" t="n"/>
      <c r="E4" s="16" t="n"/>
      <c r="F4" s="16" t="n"/>
      <c r="G4" s="16" t="n"/>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7" t="inlineStr">
        <is>
          <t>elite</t>
        </is>
      </c>
      <c r="B3" s="22" t="n">
        <v>25000</v>
      </c>
      <c r="C3" s="17" t="n"/>
      <c r="D3" s="17" t="inlineStr">
        <is>
          <t>USD</t>
        </is>
      </c>
      <c r="E3" s="27" t="n">
        <v>95</v>
      </c>
      <c r="F3" s="17" t="inlineStr">
        <is>
          <t>oui</t>
        </is>
      </c>
      <c r="G3" s="17" t="inlineStr">
        <is>
          <t>one_time</t>
        </is>
      </c>
      <c r="H3" s="17" t="n"/>
      <c r="I3" s="27" t="n">
        <v>79</v>
      </c>
      <c r="J3" s="27" t="n">
        <v>0</v>
      </c>
      <c r="K3" s="26">
        <f>IF(A3="","",SUMPRODUCT((Phases!$A$3:$A$900=A3)*(Phases!$B$3:$B$900=B3)*(Phases!$C$3:$C$900=C3)))</f>
        <v/>
      </c>
      <c r="L3" s="28">
        <f>IF(A3="","",IF(COUNTIF(Programmes!$A$3:$A$60,A3)=0,"programme inconnu",IF(K3=0,"aucune phase","ok")))</f>
        <v/>
      </c>
    </row>
    <row r="4">
      <c r="A4" s="16" t="n"/>
      <c r="B4" s="21" t="n"/>
      <c r="C4" s="16" t="n"/>
      <c r="D4" s="16" t="n"/>
      <c r="E4" s="29" t="n"/>
      <c r="F4" s="16" t="n"/>
      <c r="G4" s="16" t="n"/>
      <c r="H4" s="16" t="n"/>
      <c r="I4" s="29" t="n"/>
      <c r="J4" s="29" t="n"/>
      <c r="K4" s="26">
        <f>IF(A4="","",SUMPRODUCT((Phases!$A$3:$A$900=A4)*(Phases!$B$3:$B$900=B4)*(Phases!$C$3:$C$900=C4)))</f>
        <v/>
      </c>
      <c r="L4" s="28">
        <f>IF(A4="","",IF(COUNTIF(Programmes!$A$3:$A$60,A4)=0,"programme inconnu",IF(K4=0,"aucune phase","ok")))</f>
        <v/>
      </c>
    </row>
    <row r="5">
      <c r="A5" s="16" t="n"/>
      <c r="B5" s="21" t="n"/>
      <c r="C5" s="16" t="n"/>
      <c r="D5" s="16" t="n"/>
      <c r="E5" s="29" t="n"/>
      <c r="F5" s="16" t="n"/>
      <c r="G5" s="16" t="n"/>
      <c r="H5" s="16" t="n"/>
      <c r="I5" s="29" t="n"/>
      <c r="J5" s="29" t="n"/>
      <c r="K5" s="26">
        <f>IF(A5="","",SUMPRODUCT((Phases!$A$3:$A$900=A5)*(Phases!$B$3:$B$900=B5)*(Phases!$C$3:$C$900=C5)))</f>
        <v/>
      </c>
      <c r="L5" s="28">
        <f>IF(A5="","",IF(COUNTIF(Programmes!$A$3:$A$60,A5)=0,"programme inconnu",IF(K5=0,"aucune phase","ok")))</f>
        <v/>
      </c>
    </row>
    <row r="6">
      <c r="A6" s="16" t="n"/>
      <c r="B6" s="21" t="n"/>
      <c r="C6" s="16" t="n"/>
      <c r="D6" s="16" t="n"/>
      <c r="E6" s="29" t="n"/>
      <c r="F6" s="16" t="n"/>
      <c r="G6" s="16" t="n"/>
      <c r="H6" s="16" t="n"/>
      <c r="I6" s="29" t="n"/>
      <c r="J6" s="29" t="n"/>
      <c r="K6" s="26">
        <f>IF(A6="","",SUMPRODUCT((Phases!$A$3:$A$900=A6)*(Phases!$B$3:$B$900=B6)*(Phases!$C$3:$C$900=C6)))</f>
        <v/>
      </c>
      <c r="L6" s="28">
        <f>IF(A6="","",IF(COUNTIF(Programmes!$A$3:$A$60,A6)=0,"programme inconnu",IF(K6=0,"aucune phase","ok")))</f>
        <v/>
      </c>
    </row>
    <row r="7">
      <c r="A7" s="16" t="n"/>
      <c r="B7" s="21" t="n"/>
      <c r="C7" s="16" t="n"/>
      <c r="D7" s="16" t="n"/>
      <c r="E7" s="29" t="n"/>
      <c r="F7" s="16" t="n"/>
      <c r="G7" s="16" t="n"/>
      <c r="H7" s="16" t="n"/>
      <c r="I7" s="29" t="n"/>
      <c r="J7" s="29" t="n"/>
      <c r="K7" s="26">
        <f>IF(A7="","",SUMPRODUCT((Phases!$A$3:$A$900=A7)*(Phases!$B$3:$B$900=B7)*(Phases!$C$3:$C$900=C7)))</f>
        <v/>
      </c>
      <c r="L7" s="28">
        <f>IF(A7="","",IF(COUNTIF(Programmes!$A$3:$A$60,A7)=0,"programme inconnu",IF(K7=0,"aucune phase","ok")))</f>
        <v/>
      </c>
    </row>
    <row r="8">
      <c r="A8" s="16" t="n"/>
      <c r="B8" s="21" t="n"/>
      <c r="C8" s="16" t="n"/>
      <c r="D8" s="16" t="n"/>
      <c r="E8" s="29" t="n"/>
      <c r="F8" s="16" t="n"/>
      <c r="G8" s="16" t="n"/>
      <c r="H8" s="16" t="n"/>
      <c r="I8" s="29" t="n"/>
      <c r="J8" s="29" t="n"/>
      <c r="K8" s="26">
        <f>IF(A8="","",SUMPRODUCT((Phases!$A$3:$A$900=A8)*(Phases!$B$3:$B$900=B8)*(Phases!$C$3:$C$900=C8)))</f>
        <v/>
      </c>
      <c r="L8" s="28">
        <f>IF(A8="","",IF(COUNTIF(Programmes!$A$3:$A$60,A8)=0,"programme inconnu",IF(K8=0,"aucune phase","ok")))</f>
        <v/>
      </c>
    </row>
    <row r="9">
      <c r="A9" s="16" t="n"/>
      <c r="B9" s="21" t="n"/>
      <c r="C9" s="16" t="n"/>
      <c r="D9" s="16" t="n"/>
      <c r="E9" s="29" t="n"/>
      <c r="F9" s="16" t="n"/>
      <c r="G9" s="16" t="n"/>
      <c r="H9" s="16" t="n"/>
      <c r="I9" s="29" t="n"/>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O40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row>
    <row r="3">
      <c r="A3" s="17" t="inlineStr">
        <is>
          <t>elite</t>
        </is>
      </c>
      <c r="B3" s="22" t="n">
        <v>25000</v>
      </c>
      <c r="C3" s="17" t="n"/>
      <c r="D3" s="17" t="inlineStr">
        <is>
          <t>evaluation</t>
        </is>
      </c>
      <c r="E3" s="22" t="n">
        <v>1250</v>
      </c>
      <c r="F3" s="22" t="n">
        <v>1000</v>
      </c>
      <c r="G3" s="17" t="inlineStr">
        <is>
          <t>End of Day</t>
        </is>
      </c>
      <c r="H3" s="22" t="inlineStr">
        <is>
          <t>aucune</t>
        </is>
      </c>
      <c r="I3" s="24" t="n">
        <v>3</v>
      </c>
      <c r="J3" s="30" t="n">
        <v>0.4</v>
      </c>
      <c r="K3" s="24" t="n">
        <v>2</v>
      </c>
      <c r="L3" s="30" t="n"/>
      <c r="M3" s="22" t="n"/>
      <c r="N3" s="22" t="n"/>
      <c r="O3" s="28">
        <f>IF(A3="","",IF(SUMPRODUCT((Plans!$A$3:$A$300=A3)*(Plans!$B$3:$B$300=B3)*(Plans!$C$3:$C$300=C3))=0,"PLAN INCONNU","ok"))</f>
        <v/>
      </c>
    </row>
    <row r="4">
      <c r="A4" s="17" t="inlineStr">
        <is>
          <t>elite</t>
        </is>
      </c>
      <c r="B4" s="22" t="n">
        <v>25000</v>
      </c>
      <c r="C4" s="17" t="n"/>
      <c r="D4" s="17" t="inlineStr">
        <is>
          <t>funded</t>
        </is>
      </c>
      <c r="E4" s="22" t="n"/>
      <c r="F4" s="22" t="n">
        <v>1000</v>
      </c>
      <c r="G4" s="17" t="inlineStr">
        <is>
          <t>End of Day</t>
        </is>
      </c>
      <c r="H4" s="22" t="inlineStr">
        <is>
          <t>aucune</t>
        </is>
      </c>
      <c r="I4" s="24" t="n">
        <v>6</v>
      </c>
      <c r="J4" s="30" t="inlineStr">
        <is>
          <t>aucune</t>
        </is>
      </c>
      <c r="K4" s="24" t="n">
        <v>2</v>
      </c>
      <c r="L4" s="30" t="n">
        <v>0.9</v>
      </c>
      <c r="M4" s="22" t="n">
        <v>1000</v>
      </c>
      <c r="N4" s="22" t="n">
        <v>500</v>
      </c>
      <c r="O4" s="28">
        <f>IF(A4="","",IF(SUMPRODUCT((Plans!$A$3:$A$300=A4)*(Plans!$B$3:$B$300=B4)*(Plans!$C$3:$C$300=C4))=0,"PLAN INCONNU","ok"))</f>
        <v/>
      </c>
    </row>
    <row r="5">
      <c r="A5" s="16" t="n"/>
      <c r="B5" s="21" t="n"/>
      <c r="C5" s="16" t="n"/>
      <c r="D5" s="16" t="n"/>
      <c r="E5" s="21" t="n"/>
      <c r="F5" s="21" t="n"/>
      <c r="G5" s="16" t="n"/>
      <c r="H5" s="21" t="n"/>
      <c r="I5" s="23" t="n"/>
      <c r="J5" s="31" t="n"/>
      <c r="K5" s="23" t="n"/>
      <c r="L5" s="31" t="n"/>
      <c r="M5" s="21" t="n"/>
      <c r="N5" s="21" t="n"/>
      <c r="O5" s="28">
        <f>IF(A5="","",IF(SUMPRODUCT((Plans!$A$3:$A$300=A5)*(Plans!$B$3:$B$300=B5)*(Plans!$C$3:$C$300=C5))=0,"PLAN INCONNU","ok"))</f>
        <v/>
      </c>
    </row>
    <row r="6">
      <c r="A6" s="16" t="n"/>
      <c r="B6" s="21" t="n"/>
      <c r="C6" s="16" t="n"/>
      <c r="D6" s="16" t="n"/>
      <c r="E6" s="21" t="n"/>
      <c r="F6" s="21" t="n"/>
      <c r="G6" s="16" t="n"/>
      <c r="H6" s="21" t="n"/>
      <c r="I6" s="23" t="n"/>
      <c r="J6" s="31" t="n"/>
      <c r="K6" s="23" t="n"/>
      <c r="L6" s="31" t="n"/>
      <c r="M6" s="21" t="n"/>
      <c r="N6" s="21" t="n"/>
      <c r="O6" s="28">
        <f>IF(A6="","",IF(SUMPRODUCT((Plans!$A$3:$A$300=A6)*(Plans!$B$3:$B$300=B6)*(Plans!$C$3:$C$300=C6))=0,"PLAN INCONNU","ok"))</f>
        <v/>
      </c>
    </row>
    <row r="7">
      <c r="A7" s="16" t="n"/>
      <c r="B7" s="21" t="n"/>
      <c r="C7" s="16" t="n"/>
      <c r="D7" s="16" t="n"/>
      <c r="E7" s="21" t="n"/>
      <c r="F7" s="21" t="n"/>
      <c r="G7" s="16" t="n"/>
      <c r="H7" s="21" t="n"/>
      <c r="I7" s="23" t="n"/>
      <c r="J7" s="31" t="n"/>
      <c r="K7" s="23" t="n"/>
      <c r="L7" s="31" t="n"/>
      <c r="M7" s="21" t="n"/>
      <c r="N7" s="21" t="n"/>
      <c r="O7" s="28">
        <f>IF(A7="","",IF(SUMPRODUCT((Plans!$A$3:$A$300=A7)*(Plans!$B$3:$B$300=B7)*(Plans!$C$3:$C$300=C7))=0,"PLAN INCONNU","ok"))</f>
        <v/>
      </c>
    </row>
    <row r="8">
      <c r="A8" s="16" t="n"/>
      <c r="B8" s="21" t="n"/>
      <c r="C8" s="16" t="n"/>
      <c r="D8" s="16" t="n"/>
      <c r="E8" s="21" t="n"/>
      <c r="F8" s="21" t="n"/>
      <c r="G8" s="16" t="n"/>
      <c r="H8" s="21" t="n"/>
      <c r="I8" s="23" t="n"/>
      <c r="J8" s="31" t="n"/>
      <c r="K8" s="23" t="n"/>
      <c r="L8" s="31" t="n"/>
      <c r="M8" s="21" t="n"/>
      <c r="N8" s="21" t="n"/>
      <c r="O8" s="28">
        <f>IF(A8="","",IF(SUMPRODUCT((Plans!$A$3:$A$300=A8)*(Plans!$B$3:$B$300=B8)*(Plans!$C$3:$C$300=C8))=0,"PLAN INCONNU","ok"))</f>
        <v/>
      </c>
    </row>
    <row r="9">
      <c r="A9" s="16" t="n"/>
      <c r="B9" s="21" t="n"/>
      <c r="C9" s="16" t="n"/>
      <c r="D9" s="16" t="n"/>
      <c r="E9" s="21" t="n"/>
      <c r="F9" s="21" t="n"/>
      <c r="G9" s="16" t="n"/>
      <c r="H9" s="21" t="n"/>
      <c r="I9" s="23" t="n"/>
      <c r="J9" s="31" t="n"/>
      <c r="K9" s="23" t="n"/>
      <c r="L9" s="31" t="n"/>
      <c r="M9" s="21" t="n"/>
      <c r="N9" s="21" t="n"/>
      <c r="O9" s="28">
        <f>IF(A9="","",IF(SUMPRODUCT((Plans!$A$3:$A$300=A9)*(Plans!$B$3:$B$300=B9)*(Plans!$C$3:$C$300=C9))=0,"PLAN INCONNU","ok"))</f>
        <v/>
      </c>
    </row>
    <row r="10">
      <c r="A10" s="16" t="n"/>
      <c r="B10" s="21" t="n"/>
      <c r="C10" s="16" t="n"/>
      <c r="D10" s="16" t="n"/>
      <c r="E10" s="21" t="n"/>
      <c r="F10" s="21" t="n"/>
      <c r="G10" s="16" t="n"/>
      <c r="H10" s="21" t="n"/>
      <c r="I10" s="23" t="n"/>
      <c r="J10" s="31" t="n"/>
      <c r="K10" s="23" t="n"/>
      <c r="L10" s="31" t="n"/>
      <c r="M10" s="21" t="n"/>
      <c r="N10" s="21" t="n"/>
      <c r="O10" s="28">
        <f>IF(A10="","",IF(SUMPRODUCT((Plans!$A$3:$A$300=A10)*(Plans!$B$3:$B$300=B10)*(Plans!$C$3:$C$300=C10))=0,"PLAN INCONNU","ok"))</f>
        <v/>
      </c>
    </row>
    <row r="11">
      <c r="A11" s="16" t="n"/>
      <c r="B11" s="21" t="n"/>
      <c r="C11" s="16" t="n"/>
      <c r="D11" s="16" t="n"/>
      <c r="E11" s="21" t="n"/>
      <c r="F11" s="21" t="n"/>
      <c r="G11" s="16" t="n"/>
      <c r="H11" s="21" t="n"/>
      <c r="I11" s="23" t="n"/>
      <c r="J11" s="31" t="n"/>
      <c r="K11" s="23" t="n"/>
      <c r="L11" s="31" t="n"/>
      <c r="M11" s="21" t="n"/>
      <c r="N11" s="21" t="n"/>
      <c r="O11" s="28">
        <f>IF(A11="","",IF(SUMPRODUCT((Plans!$A$3:$A$300=A11)*(Plans!$B$3:$B$300=B11)*(Plans!$C$3:$C$300=C11))=0,"PLAN INCONNU","ok"))</f>
        <v/>
      </c>
    </row>
    <row r="12">
      <c r="A12" s="16" t="n"/>
      <c r="B12" s="21" t="n"/>
      <c r="C12" s="16" t="n"/>
      <c r="D12" s="16" t="n"/>
      <c r="E12" s="21" t="n"/>
      <c r="F12" s="21" t="n"/>
      <c r="G12" s="16" t="n"/>
      <c r="H12" s="21" t="n"/>
      <c r="I12" s="23" t="n"/>
      <c r="J12" s="31" t="n"/>
      <c r="K12" s="23" t="n"/>
      <c r="L12" s="31" t="n"/>
      <c r="M12" s="21" t="n"/>
      <c r="N12" s="21" t="n"/>
      <c r="O12" s="28">
        <f>IF(A12="","",IF(SUMPRODUCT((Plans!$A$3:$A$300=A12)*(Plans!$B$3:$B$300=B12)*(Plans!$C$3:$C$300=C12))=0,"PLAN INCONNU","ok"))</f>
        <v/>
      </c>
    </row>
    <row r="13">
      <c r="A13" s="16" t="n"/>
      <c r="B13" s="21" t="n"/>
      <c r="C13" s="16" t="n"/>
      <c r="D13" s="16" t="n"/>
      <c r="E13" s="21" t="n"/>
      <c r="F13" s="21" t="n"/>
      <c r="G13" s="16" t="n"/>
      <c r="H13" s="21" t="n"/>
      <c r="I13" s="23" t="n"/>
      <c r="J13" s="31" t="n"/>
      <c r="K13" s="23" t="n"/>
      <c r="L13" s="31" t="n"/>
      <c r="M13" s="21" t="n"/>
      <c r="N13" s="21" t="n"/>
      <c r="O13" s="28">
        <f>IF(A13="","",IF(SUMPRODUCT((Plans!$A$3:$A$300=A13)*(Plans!$B$3:$B$300=B13)*(Plans!$C$3:$C$300=C13))=0,"PLAN INCONNU","ok"))</f>
        <v/>
      </c>
    </row>
    <row r="14">
      <c r="A14" s="16" t="n"/>
      <c r="B14" s="21" t="n"/>
      <c r="C14" s="16" t="n"/>
      <c r="D14" s="16" t="n"/>
      <c r="E14" s="21" t="n"/>
      <c r="F14" s="21" t="n"/>
      <c r="G14" s="16" t="n"/>
      <c r="H14" s="21" t="n"/>
      <c r="I14" s="23" t="n"/>
      <c r="J14" s="31" t="n"/>
      <c r="K14" s="23" t="n"/>
      <c r="L14" s="31" t="n"/>
      <c r="M14" s="21" t="n"/>
      <c r="N14" s="21" t="n"/>
      <c r="O14" s="28">
        <f>IF(A14="","",IF(SUMPRODUCT((Plans!$A$3:$A$300=A14)*(Plans!$B$3:$B$300=B14)*(Plans!$C$3:$C$300=C14))=0,"PLAN INCONNU","ok"))</f>
        <v/>
      </c>
    </row>
    <row r="15">
      <c r="A15" s="16" t="n"/>
      <c r="B15" s="21" t="n"/>
      <c r="C15" s="16" t="n"/>
      <c r="D15" s="16" t="n"/>
      <c r="E15" s="21" t="n"/>
      <c r="F15" s="21" t="n"/>
      <c r="G15" s="16" t="n"/>
      <c r="H15" s="21" t="n"/>
      <c r="I15" s="23" t="n"/>
      <c r="J15" s="31" t="n"/>
      <c r="K15" s="23" t="n"/>
      <c r="L15" s="31" t="n"/>
      <c r="M15" s="21" t="n"/>
      <c r="N15" s="21" t="n"/>
      <c r="O15" s="28">
        <f>IF(A15="","",IF(SUMPRODUCT((Plans!$A$3:$A$300=A15)*(Plans!$B$3:$B$300=B15)*(Plans!$C$3:$C$300=C15))=0,"PLAN INCONNU","ok"))</f>
        <v/>
      </c>
    </row>
    <row r="16">
      <c r="A16" s="16" t="n"/>
      <c r="B16" s="21" t="n"/>
      <c r="C16" s="16" t="n"/>
      <c r="D16" s="16" t="n"/>
      <c r="E16" s="21" t="n"/>
      <c r="F16" s="21" t="n"/>
      <c r="G16" s="16" t="n"/>
      <c r="H16" s="21" t="n"/>
      <c r="I16" s="23" t="n"/>
      <c r="J16" s="31" t="n"/>
      <c r="K16" s="23" t="n"/>
      <c r="L16" s="31" t="n"/>
      <c r="M16" s="21" t="n"/>
      <c r="N16" s="21" t="n"/>
      <c r="O16" s="28">
        <f>IF(A16="","",IF(SUMPRODUCT((Plans!$A$3:$A$300=A16)*(Plans!$B$3:$B$300=B16)*(Plans!$C$3:$C$300=C16))=0,"PLAN INCONNU","ok"))</f>
        <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Pass the evaluation</t>
        </is>
      </c>
      <c r="D3" s="17" t="inlineStr">
        <is>
          <t>One phase on Elite, Nitro and Prime: reach the profit objective without breaching the maximum loss. There is no deadline. Minimum trading days differ by programme. Instant has no evaluation.</t>
        </is>
      </c>
    </row>
    <row r="4">
      <c r="A4" s="24" t="n">
        <v>2</v>
      </c>
      <c r="B4" s="17" t="inlineStr">
        <is>
          <t>funded</t>
        </is>
      </c>
      <c r="C4" s="17" t="inlineStr">
        <is>
          <t>Get the funded account</t>
        </is>
      </c>
      <c r="D4" s="17" t="inlineStr">
        <is>
          <t>The simulated funded account opens with no activation fee. Drawdown type and contract scaling change with the programme, so the rules table above is the one that applies.</t>
        </is>
      </c>
    </row>
    <row r="5">
      <c r="A5" s="24" t="n">
        <v>3</v>
      </c>
      <c r="B5" s="17" t="inlineStr">
        <is>
          <t>payout</t>
        </is>
      </c>
      <c r="C5" s="17" t="inlineStr">
        <is>
          <t>Request your first payout</t>
        </is>
      </c>
      <c r="D5" s="17" t="inlineStr">
        <is>
          <t>Requests can be made every day and are reviewed in under 24 hours on average, then paid through Rise after KYC.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Trading costs</t>
        </is>
      </c>
      <c r="C3" s="17" t="inlineStr">
        <is>
          <t>Per contract</t>
        </is>
      </c>
      <c r="D3" s="17" t="inlineStr">
        <is>
          <t>Commissions and exchange fees are charged on each executed trade.</t>
        </is>
      </c>
      <c r="E3" s="17"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I6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50" customWidth="1" min="9" max="9"/>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source_url</t>
        </is>
      </c>
    </row>
    <row r="2" ht="58" customHeight="1">
      <c r="A2" s="25" t="inlineStr">
        <is>
          <t>trading ou payouts : la carte ou la regle s'affiche.</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Page officielle. Non affichee.</t>
        </is>
      </c>
    </row>
    <row r="3">
      <c r="A3" s="17" t="inlineStr">
        <is>
          <t>trading</t>
        </is>
      </c>
      <c r="B3" s="17" t="inlineStr">
        <is>
          <t>Overnight holding</t>
        </is>
      </c>
      <c r="C3" s="17" t="inlineStr">
        <is>
          <t>Not allowed. Automatic liquidation may occur.</t>
        </is>
      </c>
      <c r="D3" s="17" t="inlineStr">
        <is>
          <t>confirmed</t>
        </is>
      </c>
      <c r="E3" s="17" t="n"/>
      <c r="F3" s="17" t="n"/>
      <c r="G3" s="17" t="n"/>
      <c r="H3" s="17" t="inlineStr">
        <is>
          <t>oui</t>
        </is>
      </c>
      <c r="I3" s="17" t="n"/>
    </row>
    <row r="4">
      <c r="A4" s="17" t="inlineStr">
        <is>
          <t>trading</t>
        </is>
      </c>
      <c r="B4" s="17" t="inlineStr">
        <is>
          <t>News trading</t>
        </is>
      </c>
      <c r="C4" s="17" t="inlineStr">
        <is>
          <t>The configurator displays "With restrictions" without stating the event window.</t>
        </is>
      </c>
      <c r="D4" s="17" t="inlineStr">
        <is>
          <t>needs_confirmation</t>
        </is>
      </c>
      <c r="E4" s="17" t="n"/>
      <c r="F4" s="17" t="n"/>
      <c r="G4" s="17" t="inlineStr">
        <is>
          <t>funded</t>
        </is>
      </c>
      <c r="H4" s="17" t="n"/>
      <c r="I4" s="17" t="n"/>
    </row>
    <row r="5">
      <c r="A5" s="16" t="n"/>
      <c r="B5" s="16" t="n"/>
      <c r="C5" s="16" t="n"/>
      <c r="D5" s="16" t="n"/>
      <c r="E5" s="16" t="n"/>
      <c r="F5" s="16" t="n"/>
      <c r="G5" s="16" t="n"/>
      <c r="H5" s="16" t="n"/>
      <c r="I5" s="16" t="n"/>
    </row>
    <row r="6">
      <c r="A6" s="16" t="n"/>
      <c r="B6" s="16" t="n"/>
      <c r="C6" s="16" t="n"/>
      <c r="D6" s="16" t="n"/>
      <c r="E6" s="16" t="n"/>
      <c r="F6" s="16" t="n"/>
      <c r="G6" s="16" t="n"/>
      <c r="H6" s="16" t="n"/>
      <c r="I6" s="16" t="n"/>
    </row>
    <row r="7">
      <c r="A7" s="16" t="n"/>
      <c r="B7" s="16" t="n"/>
      <c r="C7" s="16" t="n"/>
      <c r="D7" s="16" t="n"/>
      <c r="E7" s="16" t="n"/>
      <c r="F7" s="16" t="n"/>
      <c r="G7" s="16" t="n"/>
      <c r="H7" s="16" t="n"/>
      <c r="I7" s="16" t="n"/>
    </row>
    <row r="8">
      <c r="A8" s="16" t="n"/>
      <c r="B8" s="16" t="n"/>
      <c r="C8" s="16" t="n"/>
      <c r="D8" s="16" t="n"/>
      <c r="E8" s="16" t="n"/>
      <c r="F8" s="16" t="n"/>
      <c r="G8" s="16" t="n"/>
      <c r="H8" s="16" t="n"/>
      <c r="I8" s="16" t="n"/>
    </row>
    <row r="9">
      <c r="A9" s="16" t="n"/>
      <c r="B9" s="16" t="n"/>
      <c r="C9" s="16" t="n"/>
      <c r="D9" s="16" t="n"/>
      <c r="E9" s="16" t="n"/>
      <c r="F9" s="16" t="n"/>
      <c r="G9" s="16" t="n"/>
      <c r="H9" s="16" t="n"/>
      <c r="I9" s="16" t="n"/>
    </row>
    <row r="10">
      <c r="A10" s="16" t="n"/>
      <c r="B10" s="16" t="n"/>
      <c r="C10" s="16" t="n"/>
      <c r="D10" s="16" t="n"/>
      <c r="E10" s="16" t="n"/>
      <c r="F10" s="16" t="n"/>
      <c r="G10" s="16" t="n"/>
      <c r="H10" s="16" t="n"/>
      <c r="I10" s="16" t="n"/>
    </row>
    <row r="11">
      <c r="A11" s="16" t="n"/>
      <c r="B11" s="16" t="n"/>
      <c r="C11" s="16" t="n"/>
      <c r="D11" s="16" t="n"/>
      <c r="E11" s="16" t="n"/>
      <c r="F11" s="16" t="n"/>
      <c r="G11" s="16" t="n"/>
      <c r="H11" s="16" t="n"/>
      <c r="I11" s="16" t="n"/>
    </row>
    <row r="12">
      <c r="A12" s="16" t="n"/>
      <c r="B12" s="16" t="n"/>
      <c r="C12" s="16" t="n"/>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row r="55">
      <c r="A55" s="16" t="n"/>
      <c r="B55" s="16" t="n"/>
      <c r="C55" s="16" t="n"/>
      <c r="D55" s="16" t="n"/>
      <c r="E55" s="16" t="n"/>
      <c r="F55" s="16" t="n"/>
      <c r="G55" s="16" t="n"/>
      <c r="H55" s="16" t="n"/>
      <c r="I55" s="16" t="n"/>
    </row>
    <row r="56">
      <c r="A56" s="16" t="n"/>
      <c r="B56" s="16" t="n"/>
      <c r="C56" s="16" t="n"/>
      <c r="D56" s="16" t="n"/>
      <c r="E56" s="16" t="n"/>
      <c r="F56" s="16" t="n"/>
      <c r="G56" s="16" t="n"/>
      <c r="H56" s="16" t="n"/>
      <c r="I56" s="16" t="n"/>
    </row>
    <row r="57">
      <c r="A57" s="16" t="n"/>
      <c r="B57" s="16" t="n"/>
      <c r="C57" s="16" t="n"/>
      <c r="D57" s="16" t="n"/>
      <c r="E57" s="16" t="n"/>
      <c r="F57" s="16" t="n"/>
      <c r="G57" s="16" t="n"/>
      <c r="H57" s="16" t="n"/>
      <c r="I57" s="16" t="n"/>
    </row>
    <row r="58">
      <c r="A58" s="16" t="n"/>
      <c r="B58" s="16" t="n"/>
      <c r="C58" s="16" t="n"/>
      <c r="D58" s="16" t="n"/>
      <c r="E58" s="16" t="n"/>
      <c r="F58" s="16" t="n"/>
      <c r="G58" s="16" t="n"/>
      <c r="H58" s="16" t="n"/>
      <c r="I58" s="16" t="n"/>
    </row>
    <row r="59">
      <c r="A59" s="16" t="n"/>
      <c r="B59" s="16" t="n"/>
      <c r="C59" s="16" t="n"/>
      <c r="D59" s="16" t="n"/>
      <c r="E59" s="16" t="n"/>
      <c r="F59" s="16" t="n"/>
      <c r="G59" s="16" t="n"/>
      <c r="H59" s="16" t="n"/>
      <c r="I59" s="16" t="n"/>
    </row>
    <row r="60">
      <c r="A60" s="16" t="n"/>
      <c r="B60" s="16" t="n"/>
      <c r="C60" s="16" t="n"/>
      <c r="D60" s="16" t="n"/>
      <c r="E60" s="16" t="n"/>
      <c r="F60" s="16" t="n"/>
      <c r="G60" s="16" t="n"/>
      <c r="H60" s="16" t="n"/>
      <c r="I60" s="16" t="n"/>
    </row>
    <row r="61">
      <c r="A61" s="16" t="n"/>
      <c r="B61" s="16" t="n"/>
      <c r="C61" s="16" t="n"/>
      <c r="D61" s="16" t="n"/>
      <c r="E61" s="16" t="n"/>
      <c r="F61" s="16" t="n"/>
      <c r="G61" s="16" t="n"/>
      <c r="H61" s="16" t="n"/>
      <c r="I61" s="16" t="n"/>
    </row>
    <row r="62">
      <c r="A62" s="16" t="n"/>
      <c r="B62" s="16" t="n"/>
      <c r="C62" s="16" t="n"/>
      <c r="D62" s="16" t="n"/>
      <c r="E62" s="16" t="n"/>
      <c r="F62" s="16" t="n"/>
      <c r="G62" s="16" t="n"/>
      <c r="H62" s="16" t="n"/>
      <c r="I62" s="16" t="n"/>
    </row>
    <row r="63">
      <c r="A63" s="16" t="n"/>
      <c r="B63" s="16" t="n"/>
      <c r="C63" s="16" t="n"/>
      <c r="D63" s="16" t="n"/>
      <c r="E63" s="16" t="n"/>
      <c r="F63" s="16" t="n"/>
      <c r="G63" s="16" t="n"/>
      <c r="H63" s="16" t="n"/>
      <c r="I63" s="16" t="n"/>
    </row>
    <row r="64">
      <c r="A64" s="16" t="n"/>
      <c r="B64" s="16" t="n"/>
      <c r="C64" s="16" t="n"/>
      <c r="D64" s="16" t="n"/>
      <c r="E64" s="16" t="n"/>
      <c r="F64" s="16" t="n"/>
      <c r="G64" s="16" t="n"/>
      <c r="H64" s="16" t="n"/>
      <c r="I64" s="16" t="n"/>
    </row>
  </sheetData>
  <dataValidations count="4">
    <dataValidation sqref="A3:A64" showDropDown="0" showInputMessage="0" showErrorMessage="1" allowBlank="1" errorTitle="Valeur hors liste" error="Choisis une valeur dans la liste deroulante." type="list">
      <formula1>=Listes!$P$2:$P$3</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FuturesElite bets on generous terms once you are funded: up to a 90% split, daily payouts, and no funded consistency rule on Elite and Nitro. In exchange, the firm is young and is a proprietary trading company rather than a regulated broker.</t>
        </is>
      </c>
    </row>
    <row r="4">
      <c r="A4" s="17" t="inlineStr">
        <is>
          <t>pour_qui</t>
        </is>
      </c>
      <c r="B4" s="24" t="n">
        <v>1</v>
      </c>
      <c r="C4" s="17" t="inlineStr">
        <is>
          <t>A high split and frequent payouts, with no waiting period</t>
        </is>
      </c>
    </row>
    <row r="5">
      <c r="A5" s="17" t="inlineStr">
        <is>
          <t>limite</t>
        </is>
      </c>
      <c r="B5" s="24" t="n">
        <v>1</v>
      </c>
      <c r="C5" s="17" t="inlineStr">
        <is>
          <t>No financial regulator licence</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2026-09-19T14:02:26Z</dcterms:created>
  <dcterms:modified xsi:type="dcterms:W3CDTF">2026-09-19T14:02:27Z</dcterms:modified>
</cp:coreProperties>
</file>