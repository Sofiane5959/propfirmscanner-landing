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Carte d'identite et bande : la case affiche « — ». Ailleurs, l'emplacement disparait. Rien n'est invente.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Account configurator » : les etapes, le prix, la selection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 · « Strengths and things to know » : points forts et limites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remise s'affiche avec « ≈ » devant.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n"/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n"/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n"/>
      <c r="C4" s="17" t="inlineStr">
        <is>
          <t>https://www.google.com/s2/favicons?domain=futureselite.com&amp;sz=128</t>
        </is>
      </c>
      <c r="D4" s="18" t="inlineStr">
        <is>
          <t>Le logo, cliquable : il ouvre le site de la firme par ton lien d'affiliation, code promo compris. Vide : initiale du nom.</t>
        </is>
      </c>
    </row>
    <row r="5" ht="44" customHeight="1">
      <c r="A5" s="15" t="inlineStr">
        <is>
          <t>marches</t>
        </is>
      </c>
      <c r="B5" s="16" t="n"/>
      <c r="C5" s="17" t="inlineStr">
        <is>
          <t>futures</t>
        </is>
      </c>
      <c r="D5" s="18" t="inlineStr">
        <is>
          <t>« Firm type » (deduit d'ici) et le choix du marche dans le configurateur. futures, cfd — separes par une virgule si plusieurs.</t>
        </is>
      </c>
    </row>
    <row r="6" ht="44" customHeight="1">
      <c r="A6" s="15" t="inlineStr">
        <is>
          <t>resume</t>
        </is>
      </c>
      <c r="B6" s="16" t="n"/>
      <c r="C6" s="17" t="inlineStr">
        <is>
          <t>Elite and Prime are evaluation routes with a one-time fee and no deadline to pass. Nitro and Instant shorten or remove the evaluation entirely, Instant funding you from purchase with no objective to reach.</t>
        </is>
      </c>
      <c r="D6" s="18" t="inlineStr">
        <is>
          <t>En haut de page, sous le nom : 1 a 2 phrases. Le detail va dans presentation.</t>
        </is>
      </c>
    </row>
    <row r="7" ht="44" customHeight="1">
      <c r="A7" s="15" t="inlineStr">
        <is>
          <t>presentation</t>
        </is>
      </c>
      <c r="B7" s="16" t="n"/>
      <c r="C7" s="17" t="inlineStr">
        <is>
          <t>FuturesElite sells simulated futures accounts across four programs. Elite and Prime are evaluation routes with a one-time fee and no deadline to pass.</t>
        </is>
      </c>
      <c r="D7" s="18" t="inlineStr">
        <is>
          <t>Section « About [Firm] » : texte developpe, paragraphes separes par une ligne vide (Alt+Entree deux fois).</t>
        </is>
      </c>
    </row>
    <row r="8" ht="44" customHeight="1">
      <c r="A8" s="15" t="inlineStr">
        <is>
          <t>annee_creation</t>
        </is>
      </c>
      <c r="B8" s="19" t="n"/>
      <c r="C8" s="20" t="n">
        <v>2024</v>
      </c>
      <c r="D8" s="18" t="inlineStr">
        <is>
          <t>« Founded ». Vide : « — ».</t>
        </is>
      </c>
    </row>
    <row r="9" ht="44" customHeight="1">
      <c r="A9" s="15" t="inlineStr">
        <is>
          <t>pays</t>
        </is>
      </c>
      <c r="B9" s="16" t="n"/>
      <c r="C9" s="17" t="inlineStr">
        <is>
          <t>Italy</t>
        </is>
      </c>
      <c r="D9" s="18" t="inlineStr">
        <is>
          <t>« Country ».</t>
        </is>
      </c>
    </row>
    <row r="10" ht="44" customHeight="1">
      <c r="A10" s="15" t="inlineStr">
        <is>
          <t>ceo_fondateur</t>
        </is>
      </c>
      <c r="B10" s="16" t="n"/>
      <c r="C10" s="17" t="inlineStr">
        <is>
          <t>Christian Habibi</t>
        </is>
      </c>
      <c r="D10" s="18" t="inlineStr">
        <is>
          <t>« CEO / Founder ». Vide : « — ».</t>
        </is>
      </c>
    </row>
    <row r="11" ht="44" customHeight="1">
      <c r="A11" s="15" t="inlineStr">
        <is>
          <t>actifs</t>
        </is>
      </c>
      <c r="B11" s="16" t="n"/>
      <c r="C11" s="17" t="inlineStr">
        <is>
          <t>Futures, Forex, Metals, Indices, Energy, Crypto, Bonds, Agricultural Products</t>
        </is>
      </c>
      <c r="D11" s="18" t="inlineStr">
        <is>
          <t>« Tradable assets » (« Futures markets » chez une firme 100 % futures) : une etiquette par actif, separes par des virgules.</t>
        </is>
      </c>
    </row>
    <row r="12" ht="44" customHeight="1">
      <c r="A12" s="15" t="inlineStr">
        <is>
          <t>plateformes</t>
        </is>
      </c>
      <c r="B12" s="16" t="n"/>
      <c r="C12" s="17" t="inlineStr">
        <is>
          <t>Tradovate, NinjaTrader, Quantower, ATAS, WealthCharts, DeepChart, Volumetrica, DeepCharts</t>
        </is>
      </c>
      <c r="D12" s="18" t="inlineStr">
        <is>
          <t>« Platforms » : toutes les plateformes prises en charge, separees par des virgules.</t>
        </is>
      </c>
    </row>
    <row r="13" ht="44" customHeight="1">
      <c r="A13" s="15" t="inlineStr">
        <is>
          <t>moyens_paiement</t>
        </is>
      </c>
      <c r="B13" s="16" t="n"/>
      <c r="C13" s="17" t="inlineStr">
        <is>
          <t>Credit/Debit Card, Crypto</t>
        </is>
      </c>
      <c r="D13" s="18" t="inlineStr">
        <is>
          <t>« Payment methods » : moyens de paiement a l'achat (carte, crypto…). Ceux des retraits vont dans Conditions &gt; retraits.</t>
        </is>
      </c>
    </row>
    <row r="14" ht="44" customHeight="1">
      <c r="A14" s="15" t="inlineStr">
        <is>
          <t>levier</t>
        </is>
      </c>
      <c r="B14" s="16" t="n"/>
      <c r="C14" s="17" t="inlineStr">
        <is>
          <t>N/A (futures contracts)</t>
        </is>
      </c>
      <c r="D14" s="18" t="inlineStr">
        <is>
          <t>« Trading profile » : « Leverage 1:X ». Vide : « Leverage — ».</t>
        </is>
      </c>
    </row>
    <row r="15" ht="44" customHeight="1">
      <c r="A15" s="15" t="inlineStr">
        <is>
          <t>styles_trading</t>
        </is>
      </c>
      <c r="B15" s="16" t="n"/>
      <c r="C15" s="17" t="inlineStr">
        <is>
          <t>(vide — absent du releve)</t>
        </is>
      </c>
      <c r="D15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32" customWidth="1" min="6" max="6"/>
    <col width="50" customWidth="1" min="7" max="7"/>
    <col width="11" customWidth="1" min="8" max="8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accroche</t>
        </is>
      </c>
      <c r="G1" s="14" t="inlineStr">
        <is>
          <t>resume</t>
        </is>
      </c>
      <c r="H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Carte « How do you want to be funded? ».</t>
        </is>
      </c>
      <c r="C2" s="21" t="inlineStr">
        <is>
          <t>Carte « Choose your market ». Masquee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Petite phrase au-dessus du nom dans « How do you want to be funded? ». Vide : le type (Evaluation / No evaluation).</t>
        </is>
      </c>
      <c r="G2" s="21" t="inlineStr">
        <is>
          <t>Carte « Which program fits you? » : une phrase vraie de CE programme. Vide : la carte n'affiche que le nom.</t>
        </is>
      </c>
      <c r="H2" s="21" t="inlineStr">
        <is>
          <t>Plans rattaches.</t>
        </is>
      </c>
    </row>
    <row r="3">
      <c r="A3" s="17" t="inlineStr">
        <is>
          <t>elite</t>
        </is>
      </c>
      <c r="B3" s="17" t="inlineStr">
        <is>
          <t>Elite</t>
        </is>
      </c>
      <c r="C3" s="17" t="inlineStr">
        <is>
          <t>futures</t>
        </is>
      </c>
      <c r="D3" s="17" t="inlineStr">
        <is>
          <t>evaluation</t>
        </is>
      </c>
      <c r="E3" s="17" t="inlineStr">
        <is>
          <t>active</t>
        </is>
      </c>
      <c r="F3" s="17" t="inlineStr">
        <is>
          <t>One-step evaluation</t>
        </is>
      </c>
      <c r="G3" s="17" t="inlineStr">
        <is>
          <t>One-step evaluation, end-of-day drawdown and no daily loss limit.</t>
        </is>
      </c>
      <c r="H3" s="22">
        <f>IF(A3="","",COUNTIF(Plans!$A$3:$A$300,A3))</f>
        <v/>
      </c>
    </row>
    <row r="4">
      <c r="A4" s="16" t="n"/>
      <c r="B4" s="16" t="n"/>
      <c r="C4" s="16" t="n"/>
      <c r="D4" s="16" t="n"/>
      <c r="E4" s="16" t="n"/>
      <c r="F4" s="16" t="n"/>
      <c r="G4" s="16" t="n"/>
      <c r="H4" s="22">
        <f>IF(A4="","",COUNTIF(Plans!$A$3:$A$300,A4))</f>
        <v/>
      </c>
    </row>
    <row r="5">
      <c r="A5" s="16" t="n"/>
      <c r="B5" s="16" t="n"/>
      <c r="C5" s="16" t="n"/>
      <c r="D5" s="16" t="n"/>
      <c r="E5" s="16" t="n"/>
      <c r="F5" s="16" t="n"/>
      <c r="G5" s="16" t="n"/>
      <c r="H5" s="22">
        <f>IF(A5="","",COUNTIF(Plans!$A$3:$A$300,A5))</f>
        <v/>
      </c>
    </row>
    <row r="6">
      <c r="A6" s="16" t="n"/>
      <c r="B6" s="16" t="n"/>
      <c r="C6" s="16" t="n"/>
      <c r="D6" s="16" t="n"/>
      <c r="E6" s="16" t="n"/>
      <c r="F6" s="16" t="n"/>
      <c r="G6" s="16" t="n"/>
      <c r="H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16" t="n"/>
      <c r="G7" s="16" t="n"/>
      <c r="H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16" t="n"/>
      <c r="G8" s="16" t="n"/>
      <c r="H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16" t="n"/>
      <c r="G9" s="16" t="n"/>
      <c r="H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16" t="n"/>
      <c r="G11" s="16" t="n"/>
      <c r="H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16" t="n"/>
      <c r="G13" s="16" t="n"/>
      <c r="H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16" t="n"/>
      <c r="G14" s="16" t="n"/>
      <c r="H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16" t="n"/>
      <c r="G15" s="16" t="n"/>
      <c r="H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16" t="n"/>
      <c r="G16" s="16" t="n"/>
      <c r="H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16" t="n"/>
      <c r="G17" s="16" t="n"/>
      <c r="H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16" t="n"/>
      <c r="G18" s="16" t="n"/>
      <c r="H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16" t="n"/>
      <c r="G19" s="16" t="n"/>
      <c r="H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16" t="n"/>
      <c r="G20" s="16" t="n"/>
      <c r="H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16" t="n"/>
      <c r="G21" s="16" t="n"/>
      <c r="H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16" t="n"/>
      <c r="G22" s="16" t="n"/>
      <c r="H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16" t="n"/>
      <c r="G23" s="16" t="n"/>
      <c r="H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USD</t>
        </is>
      </c>
      <c r="E3" s="24" t="n">
        <v>95</v>
      </c>
      <c r="F3" s="17" t="inlineStr">
        <is>
          <t>oui</t>
        </is>
      </c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n"/>
      <c r="B4" s="26" t="n"/>
      <c r="C4" s="16" t="n"/>
      <c r="D4" s="16" t="n"/>
      <c r="E4" s="27" t="n"/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n"/>
      <c r="B5" s="26" t="n"/>
      <c r="C5" s="16" t="n"/>
      <c r="D5" s="16" t="n"/>
      <c r="E5" s="27" t="n"/>
      <c r="F5" s="16" t="n"/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n"/>
      <c r="B6" s="26" t="n"/>
      <c r="C6" s="16" t="n"/>
      <c r="D6" s="16" t="n"/>
      <c r="E6" s="27" t="n"/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n"/>
      <c r="B7" s="26" t="n"/>
      <c r="C7" s="16" t="n"/>
      <c r="D7" s="16" t="n"/>
      <c r="E7" s="27" t="n"/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n"/>
      <c r="B8" s="26" t="n"/>
      <c r="C8" s="16" t="n"/>
      <c r="D8" s="16" t="n"/>
      <c r="E8" s="27" t="n"/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n"/>
      <c r="B9" s="26" t="n"/>
      <c r="C9" s="16" t="n"/>
      <c r="D9" s="16" t="n"/>
      <c r="E9" s="27" t="n"/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n"/>
      <c r="B10" s="26" t="n"/>
      <c r="C10" s="16" t="n"/>
      <c r="D10" s="16" t="n"/>
      <c r="E10" s="27" t="n"/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n"/>
      <c r="B11" s="26" t="n"/>
      <c r="C11" s="16" t="n"/>
      <c r="D11" s="16" t="n"/>
      <c r="E11" s="27" t="n"/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n"/>
      <c r="B12" s="26" t="n"/>
      <c r="C12" s="16" t="n"/>
      <c r="D12" s="16" t="n"/>
      <c r="E12" s="27" t="n"/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n"/>
      <c r="B13" s="26" t="n"/>
      <c r="C13" s="16" t="n"/>
      <c r="D13" s="16" t="n"/>
      <c r="E13" s="27" t="n"/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n"/>
      <c r="B14" s="26" t="n"/>
      <c r="C14" s="16" t="n"/>
      <c r="D14" s="16" t="n"/>
      <c r="E14" s="27" t="n"/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n"/>
      <c r="B15" s="26" t="n"/>
      <c r="C15" s="16" t="n"/>
      <c r="D15" s="16" t="n"/>
      <c r="E15" s="27" t="n"/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n"/>
      <c r="B16" s="26" t="n"/>
      <c r="C16" s="16" t="n"/>
      <c r="D16" s="16" t="n"/>
      <c r="E16" s="27" t="n"/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n"/>
      <c r="B17" s="26" t="n"/>
      <c r="C17" s="16" t="n"/>
      <c r="D17" s="16" t="n"/>
      <c r="E17" s="27" t="n"/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evaluation</t>
        </is>
      </c>
      <c r="E3" s="23" t="n">
        <v>1250</v>
      </c>
      <c r="F3" s="23" t="n">
        <v>1000</v>
      </c>
      <c r="G3" s="17" t="inlineStr">
        <is>
          <t>End of Day</t>
        </is>
      </c>
      <c r="H3" s="23" t="inlineStr">
        <is>
          <t>aucune</t>
        </is>
      </c>
      <c r="I3" s="20" t="n">
        <v>3</v>
      </c>
      <c r="J3" s="28" t="n">
        <v>0.4</v>
      </c>
      <c r="K3" s="20" t="n">
        <v>2</v>
      </c>
      <c r="L3" s="28" t="n"/>
      <c r="M3" s="25">
        <f>IF(A3="","",IF(SUMPRODUCT((Plans!$A$3:$A$300=A3)*(Plans!$B$3:$B$300=B3)*(Plans!$C$3:$C$300=C3))=0,"PLAN INCONNU","ok"))</f>
        <v/>
      </c>
    </row>
    <row r="4">
      <c r="A4" s="17" t="inlineStr">
        <is>
          <t>elite</t>
        </is>
      </c>
      <c r="B4" s="23" t="n">
        <v>25000</v>
      </c>
      <c r="C4" s="17" t="n"/>
      <c r="D4" s="17" t="inlineStr">
        <is>
          <t>funded</t>
        </is>
      </c>
      <c r="E4" s="23" t="n"/>
      <c r="F4" s="23" t="n">
        <v>1000</v>
      </c>
      <c r="G4" s="17" t="inlineStr">
        <is>
          <t>End of Day</t>
        </is>
      </c>
      <c r="H4" s="23" t="inlineStr">
        <is>
          <t>aucune</t>
        </is>
      </c>
      <c r="I4" s="20" t="n">
        <v>6</v>
      </c>
      <c r="J4" s="28" t="inlineStr">
        <is>
          <t>aucune</t>
        </is>
      </c>
      <c r="K4" s="20" t="n">
        <v>2</v>
      </c>
      <c r="L4" s="28" t="n">
        <v>0.9</v>
      </c>
      <c r="M4" s="25">
        <f>IF(A4="","",IF(SUMPRODUCT((Plans!$A$3:$A$300=A4)*(Plans!$B$3:$B$300=B4)*(Plans!$C$3:$C$300=C4))=0,"PLAN INCONNU","ok"))</f>
        <v/>
      </c>
    </row>
    <row r="5">
      <c r="A5" s="16" t="n"/>
      <c r="B5" s="26" t="n"/>
      <c r="C5" s="16" t="n"/>
      <c r="D5" s="16" t="n"/>
      <c r="E5" s="26" t="n"/>
      <c r="F5" s="26" t="n"/>
      <c r="G5" s="16" t="n"/>
      <c r="H5" s="26" t="n"/>
      <c r="I5" s="19" t="n"/>
      <c r="J5" s="29" t="n"/>
      <c r="K5" s="19" t="n"/>
      <c r="L5" s="29" t="n"/>
      <c r="M5" s="25">
        <f>IF(A5="","",IF(SUMPRODUCT((Plans!$A$3:$A$300=A5)*(Plans!$B$3:$B$300=B5)*(Plans!$C$3:$C$300=C5))=0,"PLAN INCONNU","ok"))</f>
        <v/>
      </c>
    </row>
    <row r="6">
      <c r="A6" s="16" t="n"/>
      <c r="B6" s="26" t="n"/>
      <c r="C6" s="16" t="n"/>
      <c r="D6" s="16" t="n"/>
      <c r="E6" s="26" t="n"/>
      <c r="F6" s="26" t="n"/>
      <c r="G6" s="16" t="n"/>
      <c r="H6" s="26" t="n"/>
      <c r="I6" s="19" t="n"/>
      <c r="J6" s="29" t="n"/>
      <c r="K6" s="19" t="n"/>
      <c r="L6" s="29" t="n"/>
      <c r="M6" s="25">
        <f>IF(A6="","",IF(SUMPRODUCT((Plans!$A$3:$A$300=A6)*(Plans!$B$3:$B$300=B6)*(Plans!$C$3:$C$300=C6))=0,"PLAN INCONNU","ok"))</f>
        <v/>
      </c>
    </row>
    <row r="7">
      <c r="A7" s="16" t="n"/>
      <c r="B7" s="26" t="n"/>
      <c r="C7" s="16" t="n"/>
      <c r="D7" s="16" t="n"/>
      <c r="E7" s="26" t="n"/>
      <c r="F7" s="26" t="n"/>
      <c r="G7" s="16" t="n"/>
      <c r="H7" s="26" t="n"/>
      <c r="I7" s="19" t="n"/>
      <c r="J7" s="29" t="n"/>
      <c r="K7" s="19" t="n"/>
      <c r="L7" s="29" t="n"/>
      <c r="M7" s="25">
        <f>IF(A7="","",IF(SUMPRODUCT((Plans!$A$3:$A$300=A7)*(Plans!$B$3:$B$300=B7)*(Plans!$C$3:$C$300=C7))=0,"PLAN INCONNU","ok"))</f>
        <v/>
      </c>
    </row>
    <row r="8">
      <c r="A8" s="16" t="n"/>
      <c r="B8" s="26" t="n"/>
      <c r="C8" s="16" t="n"/>
      <c r="D8" s="16" t="n"/>
      <c r="E8" s="26" t="n"/>
      <c r="F8" s="26" t="n"/>
      <c r="G8" s="16" t="n"/>
      <c r="H8" s="26" t="n"/>
      <c r="I8" s="19" t="n"/>
      <c r="J8" s="29" t="n"/>
      <c r="K8" s="19" t="n"/>
      <c r="L8" s="29" t="n"/>
      <c r="M8" s="25">
        <f>IF(A8="","",IF(SUMPRODUCT((Plans!$A$3:$A$300=A8)*(Plans!$B$3:$B$300=B8)*(Plans!$C$3:$C$300=C8))=0,"PLAN INCONNU","ok"))</f>
        <v/>
      </c>
    </row>
    <row r="9">
      <c r="A9" s="16" t="n"/>
      <c r="B9" s="26" t="n"/>
      <c r="C9" s="16" t="n"/>
      <c r="D9" s="16" t="n"/>
      <c r="E9" s="26" t="n"/>
      <c r="F9" s="26" t="n"/>
      <c r="G9" s="16" t="n"/>
      <c r="H9" s="26" t="n"/>
      <c r="I9" s="19" t="n"/>
      <c r="J9" s="29" t="n"/>
      <c r="K9" s="19" t="n"/>
      <c r="L9" s="29" t="n"/>
      <c r="M9" s="25">
        <f>IF(A9="","",IF(SUMPRODUCT((Plans!$A$3:$A$300=A9)*(Plans!$B$3:$B$300=B9)*(Plans!$C$3:$C$300=C9))=0,"PLAN INCONNU","ok"))</f>
        <v/>
      </c>
    </row>
    <row r="10">
      <c r="A10" s="16" t="n"/>
      <c r="B10" s="26" t="n"/>
      <c r="C10" s="16" t="n"/>
      <c r="D10" s="16" t="n"/>
      <c r="E10" s="26" t="n"/>
      <c r="F10" s="26" t="n"/>
      <c r="G10" s="16" t="n"/>
      <c r="H10" s="26" t="n"/>
      <c r="I10" s="19" t="n"/>
      <c r="J10" s="29" t="n"/>
      <c r="K10" s="19" t="n"/>
      <c r="L10" s="29" t="n"/>
      <c r="M10" s="25">
        <f>IF(A10="","",IF(SUMPRODUCT((Plans!$A$3:$A$300=A10)*(Plans!$B$3:$B$300=B10)*(Plans!$C$3:$C$300=C10))=0,"PLAN INCONNU","ok"))</f>
        <v/>
      </c>
    </row>
    <row r="11">
      <c r="A11" s="16" t="n"/>
      <c r="B11" s="26" t="n"/>
      <c r="C11" s="16" t="n"/>
      <c r="D11" s="16" t="n"/>
      <c r="E11" s="26" t="n"/>
      <c r="F11" s="26" t="n"/>
      <c r="G11" s="16" t="n"/>
      <c r="H11" s="26" t="n"/>
      <c r="I11" s="19" t="n"/>
      <c r="J11" s="29" t="n"/>
      <c r="K11" s="19" t="n"/>
      <c r="L11" s="29" t="n"/>
      <c r="M11" s="25">
        <f>IF(A11="","",IF(SUMPRODUCT((Plans!$A$3:$A$300=A11)*(Plans!$B$3:$B$300=B11)*(Plans!$C$3:$C$300=C11))=0,"PLAN INCONNU","ok"))</f>
        <v/>
      </c>
    </row>
    <row r="12">
      <c r="A12" s="16" t="n"/>
      <c r="B12" s="26" t="n"/>
      <c r="C12" s="16" t="n"/>
      <c r="D12" s="16" t="n"/>
      <c r="E12" s="26" t="n"/>
      <c r="F12" s="26" t="n"/>
      <c r="G12" s="16" t="n"/>
      <c r="H12" s="26" t="n"/>
      <c r="I12" s="19" t="n"/>
      <c r="J12" s="29" t="n"/>
      <c r="K12" s="19" t="n"/>
      <c r="L12" s="29" t="n"/>
      <c r="M12" s="25">
        <f>IF(A12="","",IF(SUMPRODUCT((Plans!$A$3:$A$300=A12)*(Plans!$B$3:$B$300=B12)*(Plans!$C$3:$C$300=C12))=0,"PLAN INCONNU","ok"))</f>
        <v/>
      </c>
    </row>
    <row r="13">
      <c r="A13" s="16" t="n"/>
      <c r="B13" s="26" t="n"/>
      <c r="C13" s="16" t="n"/>
      <c r="D13" s="16" t="n"/>
      <c r="E13" s="26" t="n"/>
      <c r="F13" s="26" t="n"/>
      <c r="G13" s="16" t="n"/>
      <c r="H13" s="26" t="n"/>
      <c r="I13" s="19" t="n"/>
      <c r="J13" s="29" t="n"/>
      <c r="K13" s="19" t="n"/>
      <c r="L13" s="29" t="n"/>
      <c r="M13" s="25">
        <f>IF(A13="","",IF(SUMPRODUCT((Plans!$A$3:$A$300=A13)*(Plans!$B$3:$B$300=B13)*(Plans!$C$3:$C$300=C13))=0,"PLAN INCONNU","ok"))</f>
        <v/>
      </c>
    </row>
    <row r="14">
      <c r="A14" s="16" t="n"/>
      <c r="B14" s="26" t="n"/>
      <c r="C14" s="16" t="n"/>
      <c r="D14" s="16" t="n"/>
      <c r="E14" s="26" t="n"/>
      <c r="F14" s="26" t="n"/>
      <c r="G14" s="16" t="n"/>
      <c r="H14" s="26" t="n"/>
      <c r="I14" s="19" t="n"/>
      <c r="J14" s="29" t="n"/>
      <c r="K14" s="19" t="n"/>
      <c r="L14" s="29" t="n"/>
      <c r="M14" s="25">
        <f>IF(A14="","",IF(SUMPRODUCT((Plans!$A$3:$A$300=A14)*(Plans!$B$3:$B$300=B14)*(Plans!$C$3:$C$300=C14))=0,"PLAN INCONNU","ok"))</f>
        <v/>
      </c>
    </row>
    <row r="15">
      <c r="A15" s="16" t="n"/>
      <c r="B15" s="26" t="n"/>
      <c r="C15" s="16" t="n"/>
      <c r="D15" s="16" t="n"/>
      <c r="E15" s="26" t="n"/>
      <c r="F15" s="26" t="n"/>
      <c r="G15" s="16" t="n"/>
      <c r="H15" s="26" t="n"/>
      <c r="I15" s="19" t="n"/>
      <c r="J15" s="29" t="n"/>
      <c r="K15" s="19" t="n"/>
      <c r="L15" s="29" t="n"/>
      <c r="M15" s="25">
        <f>IF(A15="","",IF(SUMPRODUCT((Plans!$A$3:$A$300=A15)*(Plans!$B$3:$B$300=B15)*(Plans!$C$3:$C$300=C15))=0,"PLAN INCONNU","ok"))</f>
        <v/>
      </c>
    </row>
    <row r="16">
      <c r="A16" s="16" t="n"/>
      <c r="B16" s="26" t="n"/>
      <c r="C16" s="16" t="n"/>
      <c r="D16" s="16" t="n"/>
      <c r="E16" s="26" t="n"/>
      <c r="F16" s="26" t="n"/>
      <c r="G16" s="16" t="n"/>
      <c r="H16" s="26" t="n"/>
      <c r="I16" s="19" t="n"/>
      <c r="J16" s="29" t="n"/>
      <c r="K16" s="19" t="n"/>
      <c r="L16" s="29" t="n"/>
      <c r="M16" s="25">
        <f>IF(A16="","",IF(SUMPRODUCT((Plans!$A$3:$A$300=A16)*(Plans!$B$3:$B$300=B16)*(Plans!$C$3:$C$300=C16))=0,"PLAN INCONNU","ok"))</f>
        <v/>
      </c>
    </row>
    <row r="17">
      <c r="A17" s="16" t="n"/>
      <c r="B17" s="26" t="n"/>
      <c r="C17" s="16" t="n"/>
      <c r="D17" s="16" t="n"/>
      <c r="E17" s="26" t="n"/>
      <c r="F17" s="26" t="n"/>
      <c r="G17" s="16" t="n"/>
      <c r="H17" s="26" t="n"/>
      <c r="I17" s="19" t="n"/>
      <c r="J17" s="29" t="n"/>
      <c r="K17" s="19" t="n"/>
      <c r="L17" s="29" t="n"/>
      <c r="M17" s="25">
        <f>IF(A17="","",IF(SUMPRODUCT((Plans!$A$3:$A$300=A17)*(Plans!$B$3:$B$300=B17)*(Plans!$C$3:$C$300=C17))=0,"PLAN INCONNU","ok"))</f>
        <v/>
      </c>
    </row>
    <row r="18">
      <c r="A18" s="16" t="n"/>
      <c r="B18" s="26" t="n"/>
      <c r="C18" s="16" t="n"/>
      <c r="D18" s="16" t="n"/>
      <c r="E18" s="26" t="n"/>
      <c r="F18" s="26" t="n"/>
      <c r="G18" s="16" t="n"/>
      <c r="H18" s="26" t="n"/>
      <c r="I18" s="19" t="n"/>
      <c r="J18" s="29" t="n"/>
      <c r="K18" s="19" t="n"/>
      <c r="L18" s="29" t="n"/>
      <c r="M18" s="25">
        <f>IF(A18="","",IF(SUMPRODUCT((Plans!$A$3:$A$300=A18)*(Plans!$B$3:$B$300=B18)*(Plans!$C$3:$C$300=C18))=0,"PLAN INCONNU","ok"))</f>
        <v/>
      </c>
    </row>
    <row r="19">
      <c r="A19" s="16" t="n"/>
      <c r="B19" s="26" t="n"/>
      <c r="C19" s="16" t="n"/>
      <c r="D19" s="16" t="n"/>
      <c r="E19" s="26" t="n"/>
      <c r="F19" s="26" t="n"/>
      <c r="G19" s="16" t="n"/>
      <c r="H19" s="26" t="n"/>
      <c r="I19" s="19" t="n"/>
      <c r="J19" s="29" t="n"/>
      <c r="K19" s="19" t="n"/>
      <c r="L19" s="29" t="n"/>
      <c r="M19" s="25">
        <f>IF(A19="","",IF(SUMPRODUCT((Plans!$A$3:$A$300=A19)*(Plans!$B$3:$B$300=B19)*(Plans!$C$3:$C$300=C19))=0,"PLAN INCONNU","ok"))</f>
        <v/>
      </c>
    </row>
    <row r="20">
      <c r="A20" s="16" t="n"/>
      <c r="B20" s="26" t="n"/>
      <c r="C20" s="16" t="n"/>
      <c r="D20" s="16" t="n"/>
      <c r="E20" s="26" t="n"/>
      <c r="F20" s="26" t="n"/>
      <c r="G20" s="16" t="n"/>
      <c r="H20" s="26" t="n"/>
      <c r="I20" s="19" t="n"/>
      <c r="J20" s="29" t="n"/>
      <c r="K20" s="19" t="n"/>
      <c r="L20" s="29" t="n"/>
      <c r="M20" s="25">
        <f>IF(A20="","",IF(SUMPRODUCT((Plans!$A$3:$A$300=A20)*(Plans!$B$3:$B$300=B20)*(Plans!$C$3:$C$300=C20))=0,"PLAN INCONNU","ok"))</f>
        <v/>
      </c>
    </row>
    <row r="21">
      <c r="A21" s="16" t="n"/>
      <c r="B21" s="26" t="n"/>
      <c r="C21" s="16" t="n"/>
      <c r="D21" s="16" t="n"/>
      <c r="E21" s="26" t="n"/>
      <c r="F21" s="26" t="n"/>
      <c r="G21" s="16" t="n"/>
      <c r="H21" s="26" t="n"/>
      <c r="I21" s="19" t="n"/>
      <c r="J21" s="29" t="n"/>
      <c r="K21" s="19" t="n"/>
      <c r="L21" s="29" t="n"/>
      <c r="M21" s="25">
        <f>IF(A21="","",IF(SUMPRODUCT((Plans!$A$3:$A$300=A21)*(Plans!$B$3:$B$300=B21)*(Plans!$C$3:$C$300=C21))=0,"PLAN INCONNU","ok"))</f>
        <v/>
      </c>
    </row>
    <row r="22">
      <c r="A22" s="16" t="n"/>
      <c r="B22" s="26" t="n"/>
      <c r="C22" s="16" t="n"/>
      <c r="D22" s="16" t="n"/>
      <c r="E22" s="26" t="n"/>
      <c r="F22" s="26" t="n"/>
      <c r="G22" s="16" t="n"/>
      <c r="H22" s="26" t="n"/>
      <c r="I22" s="19" t="n"/>
      <c r="J22" s="29" t="n"/>
      <c r="K22" s="19" t="n"/>
      <c r="L22" s="29" t="n"/>
      <c r="M22" s="25">
        <f>IF(A22="","",IF(SUMPRODUCT((Plans!$A$3:$A$300=A22)*(Plans!$B$3:$B$300=B22)*(Plans!$C$3:$C$300=C22))=0,"PLAN INCONNU","ok"))</f>
        <v/>
      </c>
    </row>
    <row r="23">
      <c r="A23" s="16" t="n"/>
      <c r="B23" s="26" t="n"/>
      <c r="C23" s="16" t="n"/>
      <c r="D23" s="16" t="n"/>
      <c r="E23" s="26" t="n"/>
      <c r="F23" s="26" t="n"/>
      <c r="G23" s="16" t="n"/>
      <c r="H23" s="26" t="n"/>
      <c r="I23" s="19" t="n"/>
      <c r="J23" s="29" t="n"/>
      <c r="K23" s="19" t="n"/>
      <c r="L23" s="29" t="n"/>
      <c r="M23" s="25">
        <f>IF(A23="","",IF(SUMPRODUCT((Plans!$A$3:$A$300=A23)*(Plans!$B$3:$B$300=B23)*(Plans!$C$3:$C$300=C23))=0,"PLAN INCONNU","ok"))</f>
        <v/>
      </c>
    </row>
    <row r="24">
      <c r="A24" s="16" t="n"/>
      <c r="B24" s="26" t="n"/>
      <c r="C24" s="16" t="n"/>
      <c r="D24" s="16" t="n"/>
      <c r="E24" s="26" t="n"/>
      <c r="F24" s="26" t="n"/>
      <c r="G24" s="16" t="n"/>
      <c r="H24" s="26" t="n"/>
      <c r="I24" s="19" t="n"/>
      <c r="J24" s="29" t="n"/>
      <c r="K24" s="19" t="n"/>
      <c r="L24" s="29" t="n"/>
      <c r="M24" s="25">
        <f>IF(A24="","",IF(SUMPRODUCT((Plans!$A$3:$A$300=A24)*(Plans!$B$3:$B$300=B24)*(Plans!$C$3:$C$300=C24))=0,"PLAN INCONNU","ok"))</f>
        <v/>
      </c>
    </row>
    <row r="25">
      <c r="A25" s="16" t="n"/>
      <c r="B25" s="26" t="n"/>
      <c r="C25" s="16" t="n"/>
      <c r="D25" s="16" t="n"/>
      <c r="E25" s="26" t="n"/>
      <c r="F25" s="26" t="n"/>
      <c r="G25" s="16" t="n"/>
      <c r="H25" s="26" t="n"/>
      <c r="I25" s="19" t="n"/>
      <c r="J25" s="29" t="n"/>
      <c r="K25" s="19" t="n"/>
      <c r="L25" s="29" t="n"/>
      <c r="M25" s="25">
        <f>IF(A25="","",IF(SUMPRODUCT((Plans!$A$3:$A$300=A25)*(Plans!$B$3:$B$300=B25)*(Plans!$C$3:$C$300=C25))=0,"PLAN INCONNU","ok"))</f>
        <v/>
      </c>
    </row>
    <row r="26">
      <c r="A26" s="16" t="n"/>
      <c r="B26" s="26" t="n"/>
      <c r="C26" s="16" t="n"/>
      <c r="D26" s="16" t="n"/>
      <c r="E26" s="26" t="n"/>
      <c r="F26" s="26" t="n"/>
      <c r="G26" s="16" t="n"/>
      <c r="H26" s="26" t="n"/>
      <c r="I26" s="19" t="n"/>
      <c r="J26" s="29" t="n"/>
      <c r="K26" s="19" t="n"/>
      <c r="L26" s="29" t="n"/>
      <c r="M26" s="25">
        <f>IF(A26="","",IF(SUMPRODUCT((Plans!$A$3:$A$300=A26)*(Plans!$B$3:$B$300=B26)*(Plans!$C$3:$C$300=C26))=0,"PLAN INCONNU","ok"))</f>
        <v/>
      </c>
    </row>
    <row r="27">
      <c r="A27" s="16" t="n"/>
      <c r="B27" s="26" t="n"/>
      <c r="C27" s="16" t="n"/>
      <c r="D27" s="16" t="n"/>
      <c r="E27" s="26" t="n"/>
      <c r="F27" s="26" t="n"/>
      <c r="G27" s="16" t="n"/>
      <c r="H27" s="26" t="n"/>
      <c r="I27" s="19" t="n"/>
      <c r="J27" s="29" t="n"/>
      <c r="K27" s="19" t="n"/>
      <c r="L27" s="29" t="n"/>
      <c r="M27" s="25">
        <f>IF(A27="","",IF(SUMPRODUCT((Plans!$A$3:$A$300=A27)*(Plans!$B$3:$B$300=B27)*(Plans!$C$3:$C$300=C27))=0,"PLAN INCONNU","ok"))</f>
        <v/>
      </c>
    </row>
    <row r="28">
      <c r="A28" s="16" t="n"/>
      <c r="B28" s="26" t="n"/>
      <c r="C28" s="16" t="n"/>
      <c r="D28" s="16" t="n"/>
      <c r="E28" s="26" t="n"/>
      <c r="F28" s="26" t="n"/>
      <c r="G28" s="16" t="n"/>
      <c r="H28" s="26" t="n"/>
      <c r="I28" s="19" t="n"/>
      <c r="J28" s="29" t="n"/>
      <c r="K28" s="19" t="n"/>
      <c r="L28" s="29" t="n"/>
      <c r="M28" s="25">
        <f>IF(A28="","",IF(SUMPRODUCT((Plans!$A$3:$A$300=A28)*(Plans!$B$3:$B$300=B28)*(Plans!$C$3:$C$300=C28))=0,"PLAN INCONNU","ok"))</f>
        <v/>
      </c>
    </row>
    <row r="29">
      <c r="A29" s="16" t="n"/>
      <c r="B29" s="26" t="n"/>
      <c r="C29" s="16" t="n"/>
      <c r="D29" s="16" t="n"/>
      <c r="E29" s="26" t="n"/>
      <c r="F29" s="26" t="n"/>
      <c r="G29" s="16" t="n"/>
      <c r="H29" s="26" t="n"/>
      <c r="I29" s="19" t="n"/>
      <c r="J29" s="29" t="n"/>
      <c r="K29" s="19" t="n"/>
      <c r="L29" s="29" t="n"/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n"/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/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n"/>
      <c r="C4" s="17" t="inlineStr">
        <is>
          <t>non_confirmee</t>
        </is>
      </c>
      <c r="D4" s="18" t="inlineStr">
        <is>
          <t>non_confirmee → prix remise affiche avec « ≈ ». Sert aussi la reponse FAQ sur le code.</t>
        </is>
      </c>
    </row>
    <row r="5" ht="44" customHeight="1">
      <c r="A5" s="15" t="inlineStr">
        <is>
          <t>checkout_verifie</t>
        </is>
      </c>
      <c r="B5" s="16" t="n"/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Le prix remise ne s'affiche que sur ces programmes,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Non affiche sur la page pour l'instant.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n"/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n"/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n"/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 · point_fort = « Strengths » · limite = « Things to know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7" t="inlineStr">
        <is>
          <t>verdict</t>
        </is>
      </c>
      <c r="B3" s="20" t="n">
        <v>1</v>
      </c>
      <c r="C3" s="17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7" t="inlineStr">
        <is>
          <t>pour_qui</t>
        </is>
      </c>
      <c r="B4" s="20" t="n">
        <v>1</v>
      </c>
      <c r="C4" s="17" t="inlineStr">
        <is>
          <t>A high split and frequent payouts, with no waiting period</t>
        </is>
      </c>
    </row>
    <row r="5">
      <c r="A5" s="17" t="inlineStr">
        <is>
          <t>pas_pour</t>
        </is>
      </c>
      <c r="B5" s="20" t="n">
        <v>1</v>
      </c>
      <c r="C5" s="17" t="inlineStr">
        <is>
          <t>You want a regulated broker: Quantum SRL holds no financial regulator licence.</t>
        </is>
      </c>
    </row>
    <row r="6">
      <c r="A6" s="17" t="inlineStr">
        <is>
          <t>point_fort</t>
        </is>
      </c>
      <c r="B6" s="20" t="n">
        <v>1</v>
      </c>
      <c r="C6" s="17" t="inlineStr">
        <is>
          <t>90% profit split on Elite, Nitro and Prime; 80% on Instant</t>
        </is>
      </c>
    </row>
    <row r="7">
      <c r="A7" s="17" t="inlineStr">
        <is>
          <t>limite</t>
        </is>
      </c>
      <c r="B7" s="20" t="n">
        <v>1</v>
      </c>
      <c r="C7" s="17" t="inlineStr">
        <is>
          <t>No financial regulator licence</t>
        </is>
      </c>
    </row>
    <row r="8">
      <c r="A8" s="16" t="n"/>
      <c r="B8" s="19" t="n"/>
      <c r="C8" s="16" t="n"/>
    </row>
    <row r="9">
      <c r="A9" s="16" t="n"/>
      <c r="B9" s="19" t="n"/>
      <c r="C9" s="16" t="n"/>
    </row>
    <row r="10">
      <c r="A10" s="16" t="n"/>
      <c r="B10" s="19" t="n"/>
      <c r="C10" s="16" t="n"/>
    </row>
    <row r="11">
      <c r="A11" s="16" t="n"/>
      <c r="B11" s="19" t="n"/>
      <c r="C11" s="16" t="n"/>
    </row>
    <row r="12">
      <c r="A12" s="16" t="n"/>
      <c r="B12" s="19" t="n"/>
      <c r="C12" s="16" t="n"/>
    </row>
    <row r="13">
      <c r="A13" s="16" t="n"/>
      <c r="B13" s="19" t="n"/>
      <c r="C13" s="16" t="n"/>
    </row>
    <row r="14">
      <c r="A14" s="16" t="n"/>
      <c r="B14" s="19" t="n"/>
      <c r="C14" s="16" t="n"/>
    </row>
    <row r="15">
      <c r="A15" s="16" t="n"/>
      <c r="B15" s="19" t="n"/>
      <c r="C15" s="16" t="n"/>
    </row>
    <row r="16">
      <c r="A16" s="16" t="n"/>
      <c r="B16" s="19" t="n"/>
      <c r="C16" s="16" t="n"/>
    </row>
    <row r="17">
      <c r="A17" s="16" t="n"/>
      <c r="B17" s="19" t="n"/>
      <c r="C17" s="16" t="n"/>
    </row>
    <row r="18">
      <c r="A18" s="16" t="n"/>
      <c r="B18" s="19" t="n"/>
      <c r="C18" s="16" t="n"/>
    </row>
    <row r="19">
      <c r="A19" s="16" t="n"/>
      <c r="B19" s="19" t="n"/>
      <c r="C19" s="16" t="n"/>
    </row>
    <row r="20">
      <c r="A20" s="16" t="n"/>
      <c r="B20" s="19" t="n"/>
      <c r="C20" s="16" t="n"/>
    </row>
    <row r="21">
      <c r="A21" s="16" t="n"/>
      <c r="B21" s="19" t="n"/>
      <c r="C21" s="16" t="n"/>
    </row>
    <row r="22">
      <c r="A22" s="16" t="n"/>
      <c r="B22" s="19" t="n"/>
      <c r="C22" s="16" t="n"/>
    </row>
    <row r="23">
      <c r="A23" s="16" t="n"/>
      <c r="B23" s="19" t="n"/>
      <c r="C23" s="16" t="n"/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  <row r="36">
      <c r="A36" s="16" t="n"/>
      <c r="B36" s="19" t="n"/>
      <c r="C36" s="16" t="n"/>
    </row>
    <row r="37">
      <c r="A37" s="16" t="n"/>
      <c r="B37" s="19" t="n"/>
      <c r="C37" s="16" t="n"/>
    </row>
  </sheetData>
  <dataValidations count="1">
    <dataValidation sqref="A3:A37" showDropDown="0" showInputMessage="0" showErrorMessage="1" allowBlank="1" errorTitle="Valeur hors liste" error="Choisis une valeur dans la liste deroulante." type="list">
      <formula1>=Listes!$I$2:$I$6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Vide : la page recompose la reponse depuis les autres onglets (programmes, prix, partage, retraits, offre).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  <c r="I5" s="11" t="inlineStr">
        <is>
          <t>point_fort</t>
        </is>
      </c>
    </row>
    <row r="6">
      <c r="I6" s="11" t="inlineStr">
        <is>
          <t>limite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2026-09-11T16:17:26Z</dcterms:created>
  <dcterms:modified xsi:type="dcterms:W3CDTF">2026-09-11T16:17:27Z</dcterms:modified>
</cp:coreProperties>
</file>